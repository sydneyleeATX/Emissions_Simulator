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04C79E7BCF9F3B/Documents/"/>
    </mc:Choice>
  </mc:AlternateContent>
  <xr:revisionPtr revIDLastSave="0" documentId="8_{EEC070ED-1C1D-48CE-AE60-B928895D5CCE}" xr6:coauthVersionLast="47" xr6:coauthVersionMax="47" xr10:uidLastSave="{00000000-0000-0000-0000-000000000000}"/>
  <bookViews>
    <workbookView xWindow="720" yWindow="720" windowWidth="19200" windowHeight="11170" activeTab="1" xr2:uid="{00000000-000D-0000-FFFF-FFFF00000000}"/>
  </bookViews>
  <sheets>
    <sheet name="RPS_Numeric" sheetId="1" r:id="rId1"/>
    <sheet name="RPS_Bin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" l="1"/>
  <c r="AR5" i="1"/>
  <c r="AR6" i="1"/>
  <c r="AR7" i="1"/>
  <c r="AR8" i="1" s="1"/>
  <c r="AR9" i="1" s="1"/>
  <c r="AR10" i="1" s="1"/>
  <c r="AR11" i="1" s="1"/>
  <c r="AR12" i="1" s="1"/>
  <c r="AR13" i="1" s="1"/>
  <c r="AR14" i="1" s="1"/>
  <c r="AR15" i="1" s="1"/>
  <c r="AR16" i="1" s="1"/>
  <c r="AR3" i="1"/>
  <c r="U24" i="1"/>
  <c r="U25" i="1"/>
  <c r="U26" i="1"/>
  <c r="U27" i="1"/>
  <c r="U23" i="1"/>
  <c r="AV24" i="1"/>
  <c r="AV25" i="1"/>
  <c r="AV26" i="1"/>
  <c r="AV27" i="1"/>
  <c r="AV23" i="1"/>
  <c r="AV11" i="1"/>
  <c r="AV12" i="1"/>
  <c r="AV13" i="1"/>
  <c r="AV14" i="1"/>
  <c r="AV15" i="1"/>
  <c r="AV16" i="1"/>
  <c r="AV17" i="1" s="1"/>
  <c r="AV18" i="1" s="1"/>
  <c r="AV19" i="1" s="1"/>
  <c r="AV20" i="1" s="1"/>
  <c r="AV21" i="1" s="1"/>
  <c r="AV10" i="1"/>
  <c r="AX4" i="1"/>
  <c r="AX5" i="1" s="1"/>
  <c r="AX6" i="1" s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3" i="1"/>
  <c r="AT20" i="1"/>
  <c r="AT21" i="1" s="1"/>
  <c r="AT22" i="1" s="1"/>
  <c r="AT23" i="1" s="1"/>
  <c r="AT24" i="1" s="1"/>
  <c r="AT25" i="1" s="1"/>
  <c r="AT26" i="1" s="1"/>
  <c r="AT10" i="1"/>
  <c r="AT11" i="1" s="1"/>
  <c r="AT12" i="1" s="1"/>
  <c r="AT13" i="1" s="1"/>
  <c r="AT14" i="1" s="1"/>
  <c r="AT15" i="1" s="1"/>
  <c r="AT16" i="1" s="1"/>
  <c r="AT17" i="1" s="1"/>
  <c r="AT18" i="1" s="1"/>
  <c r="AT9" i="1"/>
  <c r="AS13" i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12" i="1"/>
  <c r="AP11" i="1"/>
  <c r="AP12" i="1" s="1"/>
  <c r="AP13" i="1" s="1"/>
  <c r="AP14" i="1" s="1"/>
  <c r="AP15" i="1" s="1"/>
  <c r="AP16" i="1" s="1"/>
  <c r="AP17" i="1" s="1"/>
  <c r="AO19" i="1"/>
  <c r="AO20" i="1" s="1"/>
  <c r="AO21" i="1" s="1"/>
  <c r="AO22" i="1" s="1"/>
  <c r="AO18" i="1"/>
  <c r="AN8" i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M8" i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L11" i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J13" i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12" i="1"/>
  <c r="AI11" i="1"/>
  <c r="AI12" i="1" s="1"/>
  <c r="AI13" i="1" s="1"/>
  <c r="AI14" i="1" s="1"/>
  <c r="AI15" i="1" s="1"/>
  <c r="AI16" i="1" s="1"/>
  <c r="AI17" i="1" s="1"/>
  <c r="AH12" i="1"/>
  <c r="AH13" i="1"/>
  <c r="AH14" i="1"/>
  <c r="AH15" i="1" s="1"/>
  <c r="AH16" i="1" s="1"/>
  <c r="AH17" i="1" s="1"/>
  <c r="AH18" i="1" s="1"/>
  <c r="AH19" i="1" s="1"/>
  <c r="AH20" i="1" s="1"/>
  <c r="AH21" i="1" s="1"/>
  <c r="AH22" i="1" s="1"/>
  <c r="AH11" i="1"/>
  <c r="AG8" i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F5" i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E3" i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D11" i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C3" i="1"/>
  <c r="AC4" i="1" s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A9" i="1"/>
  <c r="AA10" i="1" s="1"/>
  <c r="AA11" i="1" s="1"/>
  <c r="AA12" i="1" s="1"/>
  <c r="AA13" i="1" s="1"/>
  <c r="AA14" i="1" s="1"/>
  <c r="AA15" i="1" s="1"/>
  <c r="AA16" i="1" s="1"/>
  <c r="Z11" i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W12" i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V24" i="1"/>
  <c r="V25" i="1" s="1"/>
  <c r="V26" i="1" s="1"/>
  <c r="V27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1" i="1"/>
  <c r="P22" i="1" s="1"/>
  <c r="P23" i="1" s="1"/>
  <c r="P24" i="1" s="1"/>
  <c r="P25" i="1" s="1"/>
  <c r="P26" i="1" s="1"/>
  <c r="U9" i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8" i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Q13" i="1"/>
  <c r="Q14" i="1" s="1"/>
  <c r="Q15" i="1" s="1"/>
  <c r="Q16" i="1" s="1"/>
  <c r="Q17" i="1" s="1"/>
  <c r="Q18" i="1" s="1"/>
  <c r="Q19" i="1" s="1"/>
  <c r="Q20" i="1" s="1"/>
  <c r="Q21" i="1" s="1"/>
  <c r="O15" i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</calcChain>
</file>

<file path=xl/sharedStrings.xml><?xml version="1.0" encoding="utf-8"?>
<sst xmlns="http://schemas.openxmlformats.org/spreadsheetml/2006/main" count="102" uniqueCount="51">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</sst>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"/>
  <sheetViews>
    <sheetView zoomScale="91" zoomScaleNormal="86" workbookViewId="0">
      <pane xSplit="1" topLeftCell="B1" activePane="topRight" state="frozen"/>
      <selection pane="topRight" activeCell="AT32" sqref="AT32"/>
    </sheetView>
  </sheetViews>
  <sheetFormatPr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2000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1.5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2.67</v>
      </c>
      <c r="U2">
        <v>0</v>
      </c>
      <c r="V2">
        <v>0.33500000000000002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1.2</v>
      </c>
      <c r="AD2">
        <v>0</v>
      </c>
      <c r="AE2">
        <v>1.67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0.66</v>
      </c>
      <c r="AS2">
        <v>0</v>
      </c>
      <c r="AT2">
        <v>0</v>
      </c>
      <c r="AU2">
        <v>0</v>
      </c>
      <c r="AV2">
        <v>0</v>
      </c>
      <c r="AW2">
        <v>0</v>
      </c>
      <c r="AX2">
        <v>0.6</v>
      </c>
      <c r="AY2">
        <v>0</v>
      </c>
    </row>
    <row r="3" spans="1:51" x14ac:dyDescent="0.35">
      <c r="A3">
        <v>2001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f>H2 +1.2</f>
        <v>2.7</v>
      </c>
      <c r="I3">
        <v>0</v>
      </c>
      <c r="J3">
        <v>0</v>
      </c>
      <c r="K3">
        <v>0</v>
      </c>
      <c r="L3">
        <v>1.58</v>
      </c>
      <c r="M3">
        <v>0</v>
      </c>
      <c r="N3">
        <v>1.28</v>
      </c>
      <c r="O3">
        <v>0</v>
      </c>
      <c r="P3">
        <f>P2 + 2.18</f>
        <v>5.18</v>
      </c>
      <c r="Q3">
        <v>0</v>
      </c>
      <c r="R3">
        <v>0</v>
      </c>
      <c r="S3">
        <v>0</v>
      </c>
      <c r="T3">
        <f>T2 + 2.67</f>
        <v>5.34</v>
      </c>
      <c r="U3">
        <v>0</v>
      </c>
      <c r="V3">
        <f>V2 + 0.335</f>
        <v>0.67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>AC2 + 1.2</f>
        <v>2.4</v>
      </c>
      <c r="AD3">
        <v>0</v>
      </c>
      <c r="AE3">
        <f>AE2 + 1.67</f>
        <v>3.34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f>AR2+0.66</f>
        <v>1.32</v>
      </c>
      <c r="AS3">
        <v>0</v>
      </c>
      <c r="AT3">
        <v>0</v>
      </c>
      <c r="AU3">
        <v>0</v>
      </c>
      <c r="AV3">
        <v>0</v>
      </c>
      <c r="AW3">
        <v>0</v>
      </c>
      <c r="AX3">
        <f>AX2+0.6</f>
        <v>1.2</v>
      </c>
      <c r="AY3">
        <v>0</v>
      </c>
    </row>
    <row r="4" spans="1:51" x14ac:dyDescent="0.35">
      <c r="A4">
        <v>2002</v>
      </c>
      <c r="B4">
        <v>0</v>
      </c>
      <c r="C4">
        <v>0</v>
      </c>
      <c r="D4">
        <v>0</v>
      </c>
      <c r="E4">
        <v>0</v>
      </c>
      <c r="F4">
        <f>F3 + 1.1</f>
        <v>1.1000000000000001</v>
      </c>
      <c r="G4">
        <v>0</v>
      </c>
      <c r="H4">
        <f t="shared" ref="H4:H27" si="0">H3 +1.5</f>
        <v>4.2</v>
      </c>
      <c r="I4">
        <v>0</v>
      </c>
      <c r="J4">
        <v>0</v>
      </c>
      <c r="K4">
        <v>0</v>
      </c>
      <c r="L4">
        <f>L3 +1.56</f>
        <v>3.14</v>
      </c>
      <c r="M4">
        <v>0</v>
      </c>
      <c r="N4">
        <f>N3 + 1.28</f>
        <v>2.56</v>
      </c>
      <c r="O4">
        <v>0</v>
      </c>
      <c r="P4">
        <f t="shared" ref="P4:P19" si="1">P3 + 2.18</f>
        <v>7.3599999999999994</v>
      </c>
      <c r="Q4">
        <v>0</v>
      </c>
      <c r="R4">
        <v>0</v>
      </c>
      <c r="S4">
        <v>0</v>
      </c>
      <c r="T4">
        <f t="shared" ref="T4:T27" si="2">T3 + 2.67</f>
        <v>8.01</v>
      </c>
      <c r="U4">
        <v>0</v>
      </c>
      <c r="V4">
        <f t="shared" ref="V4:V22" si="3">V3 + 0.335</f>
        <v>1.0050000000000001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ref="AC4:AC27" si="4">AC3 + 1.2</f>
        <v>3.5999999999999996</v>
      </c>
      <c r="AD4">
        <v>0</v>
      </c>
      <c r="AE4">
        <f t="shared" ref="AE4:AE27" si="5">AE3 + 1.67</f>
        <v>5.01</v>
      </c>
      <c r="AF4">
        <v>1.74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f t="shared" ref="AR4:AR16" si="6">AR3+0.66</f>
        <v>1.98</v>
      </c>
      <c r="AS4">
        <v>0</v>
      </c>
      <c r="AT4">
        <v>0</v>
      </c>
      <c r="AU4">
        <v>0</v>
      </c>
      <c r="AV4">
        <v>0</v>
      </c>
      <c r="AW4">
        <v>0</v>
      </c>
      <c r="AX4">
        <f t="shared" ref="AX4:AX16" si="7">AX3+0.6</f>
        <v>1.7999999999999998</v>
      </c>
      <c r="AY4">
        <v>0</v>
      </c>
    </row>
    <row r="5" spans="1:51" x14ac:dyDescent="0.35">
      <c r="A5">
        <v>2003</v>
      </c>
      <c r="B5">
        <v>0</v>
      </c>
      <c r="C5">
        <v>0</v>
      </c>
      <c r="D5">
        <v>0</v>
      </c>
      <c r="E5">
        <v>0</v>
      </c>
      <c r="F5">
        <f t="shared" ref="F5:F18" si="8">F4 + 1.1</f>
        <v>2.2000000000000002</v>
      </c>
      <c r="G5">
        <v>0</v>
      </c>
      <c r="H5">
        <f t="shared" si="0"/>
        <v>5.7</v>
      </c>
      <c r="I5">
        <v>0</v>
      </c>
      <c r="J5">
        <v>0</v>
      </c>
      <c r="K5">
        <v>0</v>
      </c>
      <c r="L5">
        <f t="shared" ref="L5:L21" si="9">L4 +1.56</f>
        <v>4.7</v>
      </c>
      <c r="M5">
        <v>0</v>
      </c>
      <c r="N5">
        <f t="shared" ref="N5:N27" si="10">N4 + 1.28</f>
        <v>3.84</v>
      </c>
      <c r="O5">
        <v>0</v>
      </c>
      <c r="P5">
        <f t="shared" si="1"/>
        <v>9.5399999999999991</v>
      </c>
      <c r="Q5">
        <v>0</v>
      </c>
      <c r="R5">
        <v>0</v>
      </c>
      <c r="S5">
        <v>0</v>
      </c>
      <c r="T5">
        <f t="shared" si="2"/>
        <v>10.68</v>
      </c>
      <c r="U5">
        <v>0</v>
      </c>
      <c r="V5">
        <f t="shared" si="3"/>
        <v>1.34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4"/>
        <v>4.8</v>
      </c>
      <c r="AD5">
        <v>0</v>
      </c>
      <c r="AE5">
        <f t="shared" si="5"/>
        <v>6.68</v>
      </c>
      <c r="AF5">
        <f>AF4 + 1.74</f>
        <v>3.48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f t="shared" si="6"/>
        <v>2.64</v>
      </c>
      <c r="AS5">
        <v>0</v>
      </c>
      <c r="AT5">
        <v>0</v>
      </c>
      <c r="AU5">
        <v>0</v>
      </c>
      <c r="AV5">
        <v>0</v>
      </c>
      <c r="AW5">
        <v>0</v>
      </c>
      <c r="AX5">
        <f t="shared" si="7"/>
        <v>2.4</v>
      </c>
      <c r="AY5">
        <v>0</v>
      </c>
    </row>
    <row r="6" spans="1:51" x14ac:dyDescent="0.35">
      <c r="A6">
        <v>2004</v>
      </c>
      <c r="B6">
        <v>0</v>
      </c>
      <c r="C6">
        <v>0</v>
      </c>
      <c r="D6">
        <v>0</v>
      </c>
      <c r="E6">
        <v>0</v>
      </c>
      <c r="F6">
        <f t="shared" si="8"/>
        <v>3.3000000000000003</v>
      </c>
      <c r="G6">
        <v>0</v>
      </c>
      <c r="H6">
        <f t="shared" si="0"/>
        <v>7.2</v>
      </c>
      <c r="I6">
        <v>1.1200000000000001</v>
      </c>
      <c r="J6">
        <v>0</v>
      </c>
      <c r="K6">
        <v>0</v>
      </c>
      <c r="L6">
        <f t="shared" si="9"/>
        <v>6.26</v>
      </c>
      <c r="M6">
        <v>0</v>
      </c>
      <c r="N6">
        <f t="shared" si="10"/>
        <v>5.12</v>
      </c>
      <c r="O6">
        <v>0</v>
      </c>
      <c r="P6">
        <f t="shared" si="1"/>
        <v>11.719999999999999</v>
      </c>
      <c r="Q6">
        <v>0</v>
      </c>
      <c r="R6">
        <v>0</v>
      </c>
      <c r="S6">
        <v>0</v>
      </c>
      <c r="T6">
        <f t="shared" si="2"/>
        <v>13.35</v>
      </c>
      <c r="U6">
        <v>0</v>
      </c>
      <c r="V6">
        <f t="shared" si="3"/>
        <v>1.675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4"/>
        <v>6</v>
      </c>
      <c r="AD6">
        <v>0</v>
      </c>
      <c r="AE6">
        <f t="shared" si="5"/>
        <v>8.35</v>
      </c>
      <c r="AF6">
        <f t="shared" ref="AF6:AF27" si="11">AF5 + 1.74</f>
        <v>5.22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f t="shared" si="6"/>
        <v>3.3000000000000003</v>
      </c>
      <c r="AS6">
        <v>0</v>
      </c>
      <c r="AT6">
        <v>0</v>
      </c>
      <c r="AU6">
        <v>0</v>
      </c>
      <c r="AV6">
        <v>0</v>
      </c>
      <c r="AW6">
        <v>0</v>
      </c>
      <c r="AX6">
        <f t="shared" si="7"/>
        <v>3</v>
      </c>
      <c r="AY6">
        <v>0</v>
      </c>
    </row>
    <row r="7" spans="1:51" x14ac:dyDescent="0.35">
      <c r="A7">
        <v>2005</v>
      </c>
      <c r="B7">
        <v>0</v>
      </c>
      <c r="C7">
        <v>0</v>
      </c>
      <c r="D7">
        <f>D6 + 0.71</f>
        <v>0.71</v>
      </c>
      <c r="E7">
        <v>0</v>
      </c>
      <c r="F7">
        <f t="shared" si="8"/>
        <v>4.4000000000000004</v>
      </c>
      <c r="G7">
        <f>G6 + 1.3</f>
        <v>1.3</v>
      </c>
      <c r="H7">
        <f t="shared" si="0"/>
        <v>8.6999999999999993</v>
      </c>
      <c r="I7">
        <f>I6 + 1.12</f>
        <v>2.2400000000000002</v>
      </c>
      <c r="J7">
        <v>0</v>
      </c>
      <c r="K7">
        <v>0</v>
      </c>
      <c r="L7">
        <f t="shared" si="9"/>
        <v>7.82</v>
      </c>
      <c r="M7">
        <v>0</v>
      </c>
      <c r="N7">
        <f t="shared" si="10"/>
        <v>6.4</v>
      </c>
      <c r="O7">
        <v>0</v>
      </c>
      <c r="P7">
        <f t="shared" si="1"/>
        <v>13.899999999999999</v>
      </c>
      <c r="Q7">
        <v>0</v>
      </c>
      <c r="R7">
        <v>0</v>
      </c>
      <c r="S7">
        <v>0</v>
      </c>
      <c r="T7">
        <f t="shared" si="2"/>
        <v>16.02</v>
      </c>
      <c r="U7">
        <v>1.91</v>
      </c>
      <c r="V7">
        <f t="shared" si="3"/>
        <v>2.0100000000000002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4"/>
        <v>7.2</v>
      </c>
      <c r="AD7">
        <v>0</v>
      </c>
      <c r="AE7">
        <f t="shared" si="5"/>
        <v>10.02</v>
      </c>
      <c r="AF7">
        <f t="shared" si="11"/>
        <v>6.96</v>
      </c>
      <c r="AG7">
        <v>2.8</v>
      </c>
      <c r="AH7">
        <v>0</v>
      </c>
      <c r="AI7">
        <v>0</v>
      </c>
      <c r="AJ7">
        <v>0</v>
      </c>
      <c r="AK7">
        <v>0</v>
      </c>
      <c r="AL7">
        <v>0</v>
      </c>
      <c r="AM7">
        <v>1.1200000000000001</v>
      </c>
      <c r="AN7">
        <v>3.44</v>
      </c>
      <c r="AO7">
        <v>0</v>
      </c>
      <c r="AP7">
        <v>0</v>
      </c>
      <c r="AQ7">
        <v>0</v>
      </c>
      <c r="AR7">
        <f t="shared" si="6"/>
        <v>3.9600000000000004</v>
      </c>
      <c r="AS7">
        <v>0</v>
      </c>
      <c r="AT7">
        <v>0</v>
      </c>
      <c r="AU7">
        <v>0</v>
      </c>
      <c r="AV7">
        <v>0</v>
      </c>
      <c r="AW7">
        <v>0</v>
      </c>
      <c r="AX7">
        <f t="shared" si="7"/>
        <v>3.6</v>
      </c>
      <c r="AY7">
        <v>0</v>
      </c>
    </row>
    <row r="8" spans="1:51" x14ac:dyDescent="0.35">
      <c r="A8">
        <v>2006</v>
      </c>
      <c r="B8">
        <v>0</v>
      </c>
      <c r="C8">
        <v>0</v>
      </c>
      <c r="D8">
        <f t="shared" ref="D8:D27" si="12">D7 + 0.71</f>
        <v>1.42</v>
      </c>
      <c r="E8">
        <v>0</v>
      </c>
      <c r="F8">
        <f t="shared" si="8"/>
        <v>5.5</v>
      </c>
      <c r="G8">
        <f t="shared" ref="G8:G27" si="13">G7 + 1.3</f>
        <v>2.6</v>
      </c>
      <c r="H8">
        <f t="shared" si="0"/>
        <v>10.199999999999999</v>
      </c>
      <c r="I8">
        <f t="shared" ref="I8:I27" si="14">I7 + 1.12</f>
        <v>3.3600000000000003</v>
      </c>
      <c r="J8">
        <v>0</v>
      </c>
      <c r="K8">
        <v>0</v>
      </c>
      <c r="L8">
        <f t="shared" si="9"/>
        <v>9.3800000000000008</v>
      </c>
      <c r="M8">
        <v>0</v>
      </c>
      <c r="N8">
        <f t="shared" si="10"/>
        <v>7.6800000000000006</v>
      </c>
      <c r="O8">
        <v>0</v>
      </c>
      <c r="P8">
        <f t="shared" si="1"/>
        <v>16.079999999999998</v>
      </c>
      <c r="Q8">
        <v>0</v>
      </c>
      <c r="R8">
        <v>0</v>
      </c>
      <c r="S8">
        <v>0</v>
      </c>
      <c r="T8">
        <f t="shared" si="2"/>
        <v>18.689999999999998</v>
      </c>
      <c r="U8">
        <f>U7 + 1.92</f>
        <v>3.83</v>
      </c>
      <c r="V8">
        <f t="shared" si="3"/>
        <v>2.3450000000000002</v>
      </c>
      <c r="W8">
        <v>0</v>
      </c>
      <c r="X8">
        <v>0</v>
      </c>
      <c r="Y8">
        <v>0</v>
      </c>
      <c r="Z8">
        <v>0</v>
      </c>
      <c r="AA8">
        <v>1.5</v>
      </c>
      <c r="AB8">
        <v>0</v>
      </c>
      <c r="AC8">
        <f t="shared" si="4"/>
        <v>8.4</v>
      </c>
      <c r="AD8">
        <v>0</v>
      </c>
      <c r="AE8">
        <f t="shared" si="5"/>
        <v>11.69</v>
      </c>
      <c r="AF8">
        <f t="shared" si="11"/>
        <v>8.6999999999999993</v>
      </c>
      <c r="AG8">
        <f>AG7 + 2.8</f>
        <v>5.6</v>
      </c>
      <c r="AH8">
        <v>0</v>
      </c>
      <c r="AI8">
        <v>0</v>
      </c>
      <c r="AJ8">
        <v>0</v>
      </c>
      <c r="AK8">
        <v>0</v>
      </c>
      <c r="AL8">
        <v>0</v>
      </c>
      <c r="AM8">
        <f>AM7 +1.12</f>
        <v>2.2400000000000002</v>
      </c>
      <c r="AN8">
        <f>AN7 +3.44</f>
        <v>6.88</v>
      </c>
      <c r="AO8">
        <v>0</v>
      </c>
      <c r="AP8">
        <v>0</v>
      </c>
      <c r="AQ8">
        <v>0</v>
      </c>
      <c r="AR8">
        <f t="shared" si="6"/>
        <v>4.62</v>
      </c>
      <c r="AS8">
        <v>0</v>
      </c>
      <c r="AT8">
        <v>0</v>
      </c>
      <c r="AU8">
        <v>0</v>
      </c>
      <c r="AV8">
        <v>0</v>
      </c>
      <c r="AW8">
        <v>0</v>
      </c>
      <c r="AX8">
        <f t="shared" si="7"/>
        <v>4.2</v>
      </c>
      <c r="AY8">
        <v>0</v>
      </c>
    </row>
    <row r="9" spans="1:51" x14ac:dyDescent="0.35">
      <c r="A9">
        <v>2007</v>
      </c>
      <c r="B9">
        <v>0</v>
      </c>
      <c r="C9">
        <v>0</v>
      </c>
      <c r="D9">
        <f t="shared" si="12"/>
        <v>2.13</v>
      </c>
      <c r="E9">
        <v>0</v>
      </c>
      <c r="F9">
        <f t="shared" si="8"/>
        <v>6.6</v>
      </c>
      <c r="G9">
        <f t="shared" si="13"/>
        <v>3.9000000000000004</v>
      </c>
      <c r="H9">
        <f t="shared" si="0"/>
        <v>11.7</v>
      </c>
      <c r="I9">
        <f t="shared" si="14"/>
        <v>4.4800000000000004</v>
      </c>
      <c r="J9">
        <v>0</v>
      </c>
      <c r="K9">
        <v>0</v>
      </c>
      <c r="L9">
        <f t="shared" si="9"/>
        <v>10.940000000000001</v>
      </c>
      <c r="M9">
        <v>0</v>
      </c>
      <c r="N9">
        <f t="shared" si="10"/>
        <v>8.9600000000000009</v>
      </c>
      <c r="O9">
        <v>0</v>
      </c>
      <c r="P9">
        <f t="shared" si="1"/>
        <v>18.259999999999998</v>
      </c>
      <c r="Q9">
        <v>0</v>
      </c>
      <c r="R9">
        <v>0</v>
      </c>
      <c r="S9">
        <v>0</v>
      </c>
      <c r="T9">
        <f t="shared" si="2"/>
        <v>21.36</v>
      </c>
      <c r="U9">
        <f t="shared" ref="U9:U21" si="15">U8 + 1.92</f>
        <v>5.75</v>
      </c>
      <c r="V9">
        <f t="shared" si="3"/>
        <v>2.68</v>
      </c>
      <c r="W9">
        <v>0</v>
      </c>
      <c r="X9">
        <v>0</v>
      </c>
      <c r="Y9">
        <v>0</v>
      </c>
      <c r="Z9">
        <v>0</v>
      </c>
      <c r="AA9">
        <f>AA8 + 1.5</f>
        <v>3</v>
      </c>
      <c r="AB9">
        <v>0</v>
      </c>
      <c r="AC9">
        <f t="shared" si="4"/>
        <v>9.6</v>
      </c>
      <c r="AD9">
        <v>0</v>
      </c>
      <c r="AE9">
        <f t="shared" si="5"/>
        <v>13.36</v>
      </c>
      <c r="AF9">
        <f t="shared" si="11"/>
        <v>10.44</v>
      </c>
      <c r="AG9">
        <f t="shared" ref="AG9:AG27" si="16">AG8 + 2.8</f>
        <v>8.3999999999999986</v>
      </c>
      <c r="AH9">
        <v>0</v>
      </c>
      <c r="AI9">
        <v>0</v>
      </c>
      <c r="AJ9">
        <v>0</v>
      </c>
      <c r="AK9">
        <v>0</v>
      </c>
      <c r="AL9">
        <v>0</v>
      </c>
      <c r="AM9">
        <f t="shared" ref="AM9:AM21" si="17">AM8 +1.12</f>
        <v>3.3600000000000003</v>
      </c>
      <c r="AN9">
        <f t="shared" ref="AN9:AN27" si="18">AN8 +3.44</f>
        <v>10.32</v>
      </c>
      <c r="AO9">
        <v>0</v>
      </c>
      <c r="AP9">
        <v>0</v>
      </c>
      <c r="AQ9">
        <v>0</v>
      </c>
      <c r="AR9">
        <f t="shared" si="6"/>
        <v>5.28</v>
      </c>
      <c r="AS9">
        <v>0</v>
      </c>
      <c r="AT9">
        <f>AT8+5</f>
        <v>5</v>
      </c>
      <c r="AU9">
        <v>0</v>
      </c>
      <c r="AV9">
        <v>1</v>
      </c>
      <c r="AW9">
        <v>0</v>
      </c>
      <c r="AX9">
        <f t="shared" si="7"/>
        <v>4.8</v>
      </c>
      <c r="AY9">
        <v>0</v>
      </c>
    </row>
    <row r="10" spans="1:51" x14ac:dyDescent="0.35">
      <c r="A10">
        <v>2008</v>
      </c>
      <c r="B10">
        <v>0</v>
      </c>
      <c r="C10">
        <v>0</v>
      </c>
      <c r="D10">
        <f t="shared" si="12"/>
        <v>2.84</v>
      </c>
      <c r="E10">
        <v>0</v>
      </c>
      <c r="F10">
        <f t="shared" si="8"/>
        <v>7.6999999999999993</v>
      </c>
      <c r="G10">
        <f t="shared" si="13"/>
        <v>5.2</v>
      </c>
      <c r="H10">
        <f t="shared" si="0"/>
        <v>13.2</v>
      </c>
      <c r="I10">
        <f t="shared" si="14"/>
        <v>5.6000000000000005</v>
      </c>
      <c r="J10">
        <v>0</v>
      </c>
      <c r="K10">
        <v>0</v>
      </c>
      <c r="L10">
        <f t="shared" si="9"/>
        <v>12.500000000000002</v>
      </c>
      <c r="M10">
        <v>0</v>
      </c>
      <c r="N10">
        <f t="shared" si="10"/>
        <v>10.24</v>
      </c>
      <c r="O10">
        <v>0</v>
      </c>
      <c r="P10">
        <f t="shared" si="1"/>
        <v>20.439999999999998</v>
      </c>
      <c r="Q10">
        <v>0</v>
      </c>
      <c r="R10">
        <v>0</v>
      </c>
      <c r="S10">
        <v>0</v>
      </c>
      <c r="T10">
        <f t="shared" si="2"/>
        <v>24.03</v>
      </c>
      <c r="U10">
        <f t="shared" si="15"/>
        <v>7.67</v>
      </c>
      <c r="V10">
        <f t="shared" si="3"/>
        <v>3.0150000000000001</v>
      </c>
      <c r="W10">
        <v>0</v>
      </c>
      <c r="X10">
        <v>1.964</v>
      </c>
      <c r="Y10">
        <v>0</v>
      </c>
      <c r="Z10">
        <v>1.1499999999999999</v>
      </c>
      <c r="AA10">
        <f t="shared" ref="AA10:AA16" si="19">AA9 + 1.5</f>
        <v>4.5</v>
      </c>
      <c r="AB10">
        <v>0</v>
      </c>
      <c r="AC10">
        <f t="shared" si="4"/>
        <v>10.799999999999999</v>
      </c>
      <c r="AD10">
        <v>1.48</v>
      </c>
      <c r="AE10">
        <f t="shared" si="5"/>
        <v>15.03</v>
      </c>
      <c r="AF10">
        <f t="shared" si="11"/>
        <v>12.18</v>
      </c>
      <c r="AG10">
        <f t="shared" si="16"/>
        <v>11.2</v>
      </c>
      <c r="AH10">
        <v>0.93500000000000005</v>
      </c>
      <c r="AI10">
        <v>1.25</v>
      </c>
      <c r="AJ10">
        <v>0</v>
      </c>
      <c r="AK10">
        <v>0</v>
      </c>
      <c r="AL10">
        <v>1.5</v>
      </c>
      <c r="AM10">
        <f t="shared" si="17"/>
        <v>4.4800000000000004</v>
      </c>
      <c r="AN10">
        <f t="shared" si="18"/>
        <v>13.76</v>
      </c>
      <c r="AO10">
        <v>0</v>
      </c>
      <c r="AP10">
        <v>1.25</v>
      </c>
      <c r="AQ10">
        <v>0</v>
      </c>
      <c r="AR10">
        <f t="shared" si="6"/>
        <v>5.94</v>
      </c>
      <c r="AS10">
        <v>0</v>
      </c>
      <c r="AT10">
        <f t="shared" ref="AT10:AT18" si="20">AT9+5</f>
        <v>10</v>
      </c>
      <c r="AU10">
        <v>0</v>
      </c>
      <c r="AV10">
        <f>AV9+1</f>
        <v>2</v>
      </c>
      <c r="AW10">
        <v>0</v>
      </c>
      <c r="AX10">
        <f t="shared" si="7"/>
        <v>5.3999999999999995</v>
      </c>
      <c r="AY10">
        <v>0</v>
      </c>
    </row>
    <row r="11" spans="1:51" x14ac:dyDescent="0.35">
      <c r="A11">
        <v>2009</v>
      </c>
      <c r="B11">
        <v>0</v>
      </c>
      <c r="C11">
        <v>0</v>
      </c>
      <c r="D11">
        <f t="shared" si="12"/>
        <v>3.55</v>
      </c>
      <c r="E11">
        <v>0</v>
      </c>
      <c r="F11">
        <f t="shared" si="8"/>
        <v>8.7999999999999989</v>
      </c>
      <c r="G11">
        <f t="shared" si="13"/>
        <v>6.5</v>
      </c>
      <c r="H11">
        <f t="shared" si="0"/>
        <v>14.7</v>
      </c>
      <c r="I11">
        <f t="shared" si="14"/>
        <v>6.7200000000000006</v>
      </c>
      <c r="J11">
        <v>0</v>
      </c>
      <c r="K11">
        <v>0</v>
      </c>
      <c r="L11">
        <f t="shared" si="9"/>
        <v>14.060000000000002</v>
      </c>
      <c r="M11">
        <v>0</v>
      </c>
      <c r="N11">
        <f t="shared" si="10"/>
        <v>11.52</v>
      </c>
      <c r="O11">
        <v>0</v>
      </c>
      <c r="P11">
        <f t="shared" si="1"/>
        <v>22.619999999999997</v>
      </c>
      <c r="Q11">
        <v>0</v>
      </c>
      <c r="R11">
        <v>0</v>
      </c>
      <c r="S11">
        <v>0</v>
      </c>
      <c r="T11">
        <f t="shared" si="2"/>
        <v>26.700000000000003</v>
      </c>
      <c r="U11">
        <f t="shared" si="15"/>
        <v>9.59</v>
      </c>
      <c r="V11">
        <f t="shared" si="3"/>
        <v>3.35</v>
      </c>
      <c r="W11">
        <v>1.429</v>
      </c>
      <c r="X11">
        <f>X10 + 1.964</f>
        <v>3.9279999999999999</v>
      </c>
      <c r="Y11">
        <v>0</v>
      </c>
      <c r="Z11">
        <f>Z10 + 1.15</f>
        <v>2.2999999999999998</v>
      </c>
      <c r="AA11">
        <f t="shared" si="19"/>
        <v>6</v>
      </c>
      <c r="AB11">
        <v>0</v>
      </c>
      <c r="AC11">
        <f t="shared" si="4"/>
        <v>11.999999999999998</v>
      </c>
      <c r="AD11">
        <f>AD10 + 1.48</f>
        <v>2.96</v>
      </c>
      <c r="AE11">
        <f t="shared" si="5"/>
        <v>16.7</v>
      </c>
      <c r="AF11">
        <f t="shared" si="11"/>
        <v>13.92</v>
      </c>
      <c r="AG11">
        <f t="shared" si="16"/>
        <v>14</v>
      </c>
      <c r="AH11">
        <f>AH10 +0.935</f>
        <v>1.87</v>
      </c>
      <c r="AI11">
        <f>AI10+1.25</f>
        <v>2.5</v>
      </c>
      <c r="AJ11">
        <v>0.5</v>
      </c>
      <c r="AK11">
        <v>0</v>
      </c>
      <c r="AL11">
        <f>AL10+1.5</f>
        <v>3</v>
      </c>
      <c r="AM11">
        <f t="shared" si="17"/>
        <v>5.6000000000000005</v>
      </c>
      <c r="AN11">
        <f t="shared" si="18"/>
        <v>17.2</v>
      </c>
      <c r="AO11">
        <v>0</v>
      </c>
      <c r="AP11">
        <f>AP10+1.25</f>
        <v>2.5</v>
      </c>
      <c r="AQ11">
        <v>0</v>
      </c>
      <c r="AR11">
        <f t="shared" si="6"/>
        <v>6.6000000000000005</v>
      </c>
      <c r="AS11">
        <v>1.17</v>
      </c>
      <c r="AT11">
        <f t="shared" si="20"/>
        <v>15</v>
      </c>
      <c r="AU11">
        <v>0</v>
      </c>
      <c r="AV11">
        <f t="shared" ref="AV11:AV21" si="21">AV10+1</f>
        <v>3</v>
      </c>
      <c r="AW11">
        <v>0</v>
      </c>
      <c r="AX11">
        <f t="shared" si="7"/>
        <v>5.9999999999999991</v>
      </c>
      <c r="AY11">
        <v>0</v>
      </c>
    </row>
    <row r="12" spans="1:51" x14ac:dyDescent="0.35">
      <c r="A12">
        <v>2010</v>
      </c>
      <c r="B12">
        <v>0</v>
      </c>
      <c r="C12">
        <v>0</v>
      </c>
      <c r="D12">
        <f t="shared" si="12"/>
        <v>4.26</v>
      </c>
      <c r="E12">
        <v>0</v>
      </c>
      <c r="F12">
        <f t="shared" si="8"/>
        <v>9.8999999999999986</v>
      </c>
      <c r="G12">
        <f t="shared" si="13"/>
        <v>7.8</v>
      </c>
      <c r="H12">
        <f t="shared" si="0"/>
        <v>16.2</v>
      </c>
      <c r="I12">
        <f t="shared" si="14"/>
        <v>7.8400000000000007</v>
      </c>
      <c r="J12">
        <v>0</v>
      </c>
      <c r="K12">
        <v>0</v>
      </c>
      <c r="L12">
        <f t="shared" si="9"/>
        <v>15.620000000000003</v>
      </c>
      <c r="M12">
        <v>0</v>
      </c>
      <c r="N12">
        <f t="shared" si="10"/>
        <v>12.799999999999999</v>
      </c>
      <c r="O12">
        <v>0</v>
      </c>
      <c r="P12">
        <f t="shared" si="1"/>
        <v>24.799999999999997</v>
      </c>
      <c r="Q12">
        <v>1.36</v>
      </c>
      <c r="R12">
        <v>0</v>
      </c>
      <c r="S12">
        <v>0</v>
      </c>
      <c r="T12">
        <f t="shared" si="2"/>
        <v>29.370000000000005</v>
      </c>
      <c r="U12">
        <f t="shared" si="15"/>
        <v>11.51</v>
      </c>
      <c r="V12">
        <f t="shared" si="3"/>
        <v>3.6850000000000001</v>
      </c>
      <c r="W12">
        <f>W11 + 1.429</f>
        <v>2.8580000000000001</v>
      </c>
      <c r="X12">
        <f t="shared" ref="X12:X27" si="22">X11 + 1.964</f>
        <v>5.8919999999999995</v>
      </c>
      <c r="Y12">
        <v>0</v>
      </c>
      <c r="Z12">
        <f t="shared" ref="Z12:Z22" si="23">Z11 + 1.15</f>
        <v>3.4499999999999997</v>
      </c>
      <c r="AA12">
        <f t="shared" si="19"/>
        <v>7.5</v>
      </c>
      <c r="AB12">
        <v>0</v>
      </c>
      <c r="AC12">
        <f t="shared" si="4"/>
        <v>13.199999999999998</v>
      </c>
      <c r="AD12">
        <f t="shared" ref="AD12:AD26" si="24">AD11 + 1.48</f>
        <v>4.4399999999999995</v>
      </c>
      <c r="AE12">
        <f t="shared" si="5"/>
        <v>18.369999999999997</v>
      </c>
      <c r="AF12">
        <f t="shared" si="11"/>
        <v>15.66</v>
      </c>
      <c r="AG12">
        <f t="shared" si="16"/>
        <v>16.8</v>
      </c>
      <c r="AH12">
        <f t="shared" ref="AH12:AH22" si="25">AH11 +0.935</f>
        <v>2.8050000000000002</v>
      </c>
      <c r="AI12">
        <f t="shared" ref="AI12:AI17" si="26">AI11+1.25</f>
        <v>3.75</v>
      </c>
      <c r="AJ12">
        <f>AJ11 + 0.5</f>
        <v>1</v>
      </c>
      <c r="AK12">
        <v>0</v>
      </c>
      <c r="AL12">
        <f t="shared" ref="AL12:AL26" si="27">AL11+1.5</f>
        <v>4.5</v>
      </c>
      <c r="AM12">
        <f t="shared" si="17"/>
        <v>6.7200000000000006</v>
      </c>
      <c r="AN12">
        <f t="shared" si="18"/>
        <v>20.64</v>
      </c>
      <c r="AO12">
        <v>0</v>
      </c>
      <c r="AP12">
        <f t="shared" ref="AP12:AP17" si="28">AP11+1.25</f>
        <v>3.75</v>
      </c>
      <c r="AQ12">
        <v>0</v>
      </c>
      <c r="AR12">
        <f t="shared" si="6"/>
        <v>7.2600000000000007</v>
      </c>
      <c r="AS12">
        <f>AS11+1.17</f>
        <v>2.34</v>
      </c>
      <c r="AT12">
        <f t="shared" si="20"/>
        <v>20</v>
      </c>
      <c r="AU12">
        <v>0</v>
      </c>
      <c r="AV12">
        <f t="shared" si="21"/>
        <v>4</v>
      </c>
      <c r="AW12">
        <v>2</v>
      </c>
      <c r="AX12">
        <f t="shared" si="7"/>
        <v>6.5999999999999988</v>
      </c>
      <c r="AY12">
        <v>0</v>
      </c>
    </row>
    <row r="13" spans="1:51" x14ac:dyDescent="0.35">
      <c r="A13">
        <v>2011</v>
      </c>
      <c r="B13">
        <v>0</v>
      </c>
      <c r="C13">
        <v>0</v>
      </c>
      <c r="D13">
        <f t="shared" si="12"/>
        <v>4.97</v>
      </c>
      <c r="E13">
        <v>0</v>
      </c>
      <c r="F13">
        <f t="shared" si="8"/>
        <v>10.999999999999998</v>
      </c>
      <c r="G13">
        <f t="shared" si="13"/>
        <v>9.1</v>
      </c>
      <c r="H13">
        <f t="shared" si="0"/>
        <v>17.7</v>
      </c>
      <c r="I13">
        <f t="shared" si="14"/>
        <v>8.9600000000000009</v>
      </c>
      <c r="J13">
        <v>0</v>
      </c>
      <c r="K13">
        <v>0</v>
      </c>
      <c r="L13">
        <f t="shared" si="9"/>
        <v>17.180000000000003</v>
      </c>
      <c r="M13">
        <v>0</v>
      </c>
      <c r="N13">
        <f t="shared" si="10"/>
        <v>14.079999999999998</v>
      </c>
      <c r="O13">
        <v>0</v>
      </c>
      <c r="P13">
        <f t="shared" si="1"/>
        <v>26.979999999999997</v>
      </c>
      <c r="Q13">
        <f>Q12 +2</f>
        <v>3.3600000000000003</v>
      </c>
      <c r="R13">
        <v>0</v>
      </c>
      <c r="S13">
        <v>0</v>
      </c>
      <c r="T13">
        <f t="shared" si="2"/>
        <v>32.040000000000006</v>
      </c>
      <c r="U13">
        <f t="shared" si="15"/>
        <v>13.43</v>
      </c>
      <c r="V13">
        <f t="shared" si="3"/>
        <v>4.0200000000000005</v>
      </c>
      <c r="W13">
        <f t="shared" ref="W13:W17" si="29">W12 + 1.429</f>
        <v>4.2869999999999999</v>
      </c>
      <c r="X13">
        <f t="shared" si="22"/>
        <v>7.8559999999999999</v>
      </c>
      <c r="Y13">
        <v>0</v>
      </c>
      <c r="Z13">
        <f t="shared" si="23"/>
        <v>4.5999999999999996</v>
      </c>
      <c r="AA13">
        <f t="shared" si="19"/>
        <v>9</v>
      </c>
      <c r="AB13">
        <v>0</v>
      </c>
      <c r="AC13">
        <f t="shared" si="4"/>
        <v>14.399999999999997</v>
      </c>
      <c r="AD13">
        <f t="shared" si="24"/>
        <v>5.92</v>
      </c>
      <c r="AE13">
        <f t="shared" si="5"/>
        <v>20.04</v>
      </c>
      <c r="AF13">
        <f t="shared" si="11"/>
        <v>17.399999999999999</v>
      </c>
      <c r="AG13">
        <f t="shared" si="16"/>
        <v>19.600000000000001</v>
      </c>
      <c r="AH13">
        <f t="shared" si="25"/>
        <v>3.74</v>
      </c>
      <c r="AI13">
        <f t="shared" si="26"/>
        <v>5</v>
      </c>
      <c r="AJ13">
        <f t="shared" ref="AJ13:AJ26" si="30">AJ12 + 0.5</f>
        <v>1.5</v>
      </c>
      <c r="AK13">
        <v>3</v>
      </c>
      <c r="AL13">
        <f t="shared" si="27"/>
        <v>6</v>
      </c>
      <c r="AM13">
        <f t="shared" si="17"/>
        <v>7.8400000000000007</v>
      </c>
      <c r="AN13">
        <f t="shared" si="18"/>
        <v>24.080000000000002</v>
      </c>
      <c r="AO13">
        <v>0</v>
      </c>
      <c r="AP13">
        <f t="shared" si="28"/>
        <v>5</v>
      </c>
      <c r="AQ13">
        <v>0</v>
      </c>
      <c r="AR13">
        <f t="shared" si="6"/>
        <v>7.9200000000000008</v>
      </c>
      <c r="AS13">
        <f t="shared" ref="AS13:AS26" si="31">AS12+1.17</f>
        <v>3.51</v>
      </c>
      <c r="AT13">
        <f t="shared" si="20"/>
        <v>25</v>
      </c>
      <c r="AU13">
        <v>0</v>
      </c>
      <c r="AV13">
        <f t="shared" si="21"/>
        <v>5</v>
      </c>
      <c r="AW13">
        <v>4</v>
      </c>
      <c r="AX13">
        <f t="shared" si="7"/>
        <v>7.1999999999999984</v>
      </c>
      <c r="AY13">
        <v>0</v>
      </c>
    </row>
    <row r="14" spans="1:51" x14ac:dyDescent="0.35">
      <c r="A14">
        <v>2012</v>
      </c>
      <c r="B14">
        <v>0</v>
      </c>
      <c r="C14">
        <v>0</v>
      </c>
      <c r="D14">
        <f t="shared" si="12"/>
        <v>5.68</v>
      </c>
      <c r="E14">
        <v>0</v>
      </c>
      <c r="F14">
        <f t="shared" si="8"/>
        <v>12.099999999999998</v>
      </c>
      <c r="G14">
        <f t="shared" si="13"/>
        <v>10.4</v>
      </c>
      <c r="H14">
        <f t="shared" si="0"/>
        <v>19.2</v>
      </c>
      <c r="I14">
        <f t="shared" si="14"/>
        <v>10.080000000000002</v>
      </c>
      <c r="J14">
        <v>0</v>
      </c>
      <c r="K14">
        <v>0</v>
      </c>
      <c r="L14">
        <f t="shared" si="9"/>
        <v>18.740000000000002</v>
      </c>
      <c r="M14">
        <v>0</v>
      </c>
      <c r="N14">
        <f t="shared" si="10"/>
        <v>15.359999999999998</v>
      </c>
      <c r="O14">
        <v>0.71</v>
      </c>
      <c r="P14">
        <f t="shared" si="1"/>
        <v>29.159999999999997</v>
      </c>
      <c r="Q14">
        <f t="shared" ref="Q14:Q21" si="32">Q13 +2</f>
        <v>5.36</v>
      </c>
      <c r="R14">
        <v>0</v>
      </c>
      <c r="S14">
        <v>0</v>
      </c>
      <c r="T14">
        <f t="shared" si="2"/>
        <v>34.710000000000008</v>
      </c>
      <c r="U14">
        <f t="shared" si="15"/>
        <v>15.35</v>
      </c>
      <c r="V14">
        <f t="shared" si="3"/>
        <v>4.3550000000000004</v>
      </c>
      <c r="W14">
        <f t="shared" si="29"/>
        <v>5.7160000000000002</v>
      </c>
      <c r="X14">
        <f t="shared" si="22"/>
        <v>9.82</v>
      </c>
      <c r="Y14">
        <v>0</v>
      </c>
      <c r="Z14">
        <f t="shared" si="23"/>
        <v>5.75</v>
      </c>
      <c r="AA14">
        <f t="shared" si="19"/>
        <v>10.5</v>
      </c>
      <c r="AB14">
        <v>0</v>
      </c>
      <c r="AC14">
        <f t="shared" si="4"/>
        <v>15.599999999999996</v>
      </c>
      <c r="AD14">
        <f t="shared" si="24"/>
        <v>7.4</v>
      </c>
      <c r="AE14">
        <f t="shared" si="5"/>
        <v>21.71</v>
      </c>
      <c r="AF14">
        <f t="shared" si="11"/>
        <v>19.139999999999997</v>
      </c>
      <c r="AG14">
        <f t="shared" si="16"/>
        <v>22.400000000000002</v>
      </c>
      <c r="AH14">
        <f t="shared" si="25"/>
        <v>4.6750000000000007</v>
      </c>
      <c r="AI14">
        <f t="shared" si="26"/>
        <v>6.25</v>
      </c>
      <c r="AJ14">
        <f t="shared" si="30"/>
        <v>2</v>
      </c>
      <c r="AK14">
        <v>6</v>
      </c>
      <c r="AL14">
        <f t="shared" si="27"/>
        <v>7.5</v>
      </c>
      <c r="AM14">
        <f t="shared" si="17"/>
        <v>8.9600000000000009</v>
      </c>
      <c r="AN14">
        <f t="shared" si="18"/>
        <v>27.520000000000003</v>
      </c>
      <c r="AO14">
        <v>0</v>
      </c>
      <c r="AP14">
        <f t="shared" si="28"/>
        <v>6.25</v>
      </c>
      <c r="AQ14">
        <v>0</v>
      </c>
      <c r="AR14">
        <f t="shared" si="6"/>
        <v>8.58</v>
      </c>
      <c r="AS14">
        <f t="shared" si="31"/>
        <v>4.68</v>
      </c>
      <c r="AT14">
        <f t="shared" si="20"/>
        <v>30</v>
      </c>
      <c r="AU14">
        <v>0</v>
      </c>
      <c r="AV14">
        <f t="shared" si="21"/>
        <v>6</v>
      </c>
      <c r="AW14">
        <v>6</v>
      </c>
      <c r="AX14">
        <f t="shared" si="7"/>
        <v>7.799999999999998</v>
      </c>
      <c r="AY14">
        <v>0</v>
      </c>
    </row>
    <row r="15" spans="1:51" x14ac:dyDescent="0.35">
      <c r="A15">
        <v>2013</v>
      </c>
      <c r="B15">
        <v>0</v>
      </c>
      <c r="C15">
        <v>0</v>
      </c>
      <c r="D15">
        <f t="shared" si="12"/>
        <v>6.39</v>
      </c>
      <c r="E15">
        <v>0</v>
      </c>
      <c r="F15">
        <f t="shared" si="8"/>
        <v>13.199999999999998</v>
      </c>
      <c r="G15">
        <f t="shared" si="13"/>
        <v>11.700000000000001</v>
      </c>
      <c r="H15">
        <f t="shared" si="0"/>
        <v>20.7</v>
      </c>
      <c r="I15">
        <f t="shared" si="14"/>
        <v>11.200000000000003</v>
      </c>
      <c r="J15">
        <v>0</v>
      </c>
      <c r="K15">
        <v>0</v>
      </c>
      <c r="L15">
        <f t="shared" si="9"/>
        <v>20.3</v>
      </c>
      <c r="M15">
        <v>0</v>
      </c>
      <c r="N15">
        <f t="shared" si="10"/>
        <v>16.639999999999997</v>
      </c>
      <c r="O15">
        <f>O14 + 0.71</f>
        <v>1.42</v>
      </c>
      <c r="P15">
        <f t="shared" si="1"/>
        <v>31.339999999999996</v>
      </c>
      <c r="Q15">
        <f t="shared" si="32"/>
        <v>7.36</v>
      </c>
      <c r="R15">
        <v>0</v>
      </c>
      <c r="S15">
        <v>0</v>
      </c>
      <c r="T15">
        <f t="shared" si="2"/>
        <v>37.38000000000001</v>
      </c>
      <c r="U15">
        <f t="shared" si="15"/>
        <v>17.27</v>
      </c>
      <c r="V15">
        <f t="shared" si="3"/>
        <v>4.6900000000000004</v>
      </c>
      <c r="W15">
        <f t="shared" si="29"/>
        <v>7.1450000000000005</v>
      </c>
      <c r="X15">
        <f t="shared" si="22"/>
        <v>11.784000000000001</v>
      </c>
      <c r="Y15">
        <v>0</v>
      </c>
      <c r="Z15">
        <f t="shared" si="23"/>
        <v>6.9</v>
      </c>
      <c r="AA15">
        <f t="shared" si="19"/>
        <v>12</v>
      </c>
      <c r="AB15">
        <v>0</v>
      </c>
      <c r="AC15">
        <f t="shared" si="4"/>
        <v>16.799999999999997</v>
      </c>
      <c r="AD15">
        <f t="shared" si="24"/>
        <v>8.8800000000000008</v>
      </c>
      <c r="AE15">
        <f t="shared" si="5"/>
        <v>23.380000000000003</v>
      </c>
      <c r="AF15">
        <f t="shared" si="11"/>
        <v>20.879999999999995</v>
      </c>
      <c r="AG15">
        <f t="shared" si="16"/>
        <v>25.200000000000003</v>
      </c>
      <c r="AH15">
        <f t="shared" si="25"/>
        <v>5.6100000000000012</v>
      </c>
      <c r="AI15">
        <f t="shared" si="26"/>
        <v>7.5</v>
      </c>
      <c r="AJ15">
        <f t="shared" si="30"/>
        <v>2.5</v>
      </c>
      <c r="AK15">
        <v>9</v>
      </c>
      <c r="AL15">
        <f t="shared" si="27"/>
        <v>9</v>
      </c>
      <c r="AM15">
        <f t="shared" si="17"/>
        <v>10.080000000000002</v>
      </c>
      <c r="AN15">
        <f t="shared" si="18"/>
        <v>30.960000000000004</v>
      </c>
      <c r="AO15">
        <v>0</v>
      </c>
      <c r="AP15">
        <f t="shared" si="28"/>
        <v>7.5</v>
      </c>
      <c r="AQ15">
        <v>0</v>
      </c>
      <c r="AR15">
        <f t="shared" si="6"/>
        <v>9.24</v>
      </c>
      <c r="AS15">
        <f t="shared" si="31"/>
        <v>5.85</v>
      </c>
      <c r="AT15">
        <f t="shared" si="20"/>
        <v>35</v>
      </c>
      <c r="AU15">
        <v>0</v>
      </c>
      <c r="AV15">
        <f t="shared" si="21"/>
        <v>7</v>
      </c>
      <c r="AW15">
        <v>8</v>
      </c>
      <c r="AX15">
        <f t="shared" si="7"/>
        <v>8.3999999999999986</v>
      </c>
      <c r="AY15">
        <v>0</v>
      </c>
    </row>
    <row r="16" spans="1:51" x14ac:dyDescent="0.35">
      <c r="A16">
        <v>2014</v>
      </c>
      <c r="B16">
        <v>0</v>
      </c>
      <c r="C16">
        <v>0</v>
      </c>
      <c r="D16">
        <f t="shared" si="12"/>
        <v>7.1</v>
      </c>
      <c r="E16">
        <v>0</v>
      </c>
      <c r="F16">
        <f t="shared" si="8"/>
        <v>14.299999999999997</v>
      </c>
      <c r="G16">
        <f t="shared" si="13"/>
        <v>13.000000000000002</v>
      </c>
      <c r="H16">
        <f t="shared" si="0"/>
        <v>22.2</v>
      </c>
      <c r="I16">
        <f t="shared" si="14"/>
        <v>12.320000000000004</v>
      </c>
      <c r="J16">
        <v>0</v>
      </c>
      <c r="K16">
        <v>0</v>
      </c>
      <c r="L16">
        <f t="shared" si="9"/>
        <v>21.86</v>
      </c>
      <c r="M16">
        <v>0</v>
      </c>
      <c r="N16">
        <f t="shared" si="10"/>
        <v>17.919999999999998</v>
      </c>
      <c r="O16">
        <f t="shared" ref="O16:O27" si="33">O15 + 0.71</f>
        <v>2.13</v>
      </c>
      <c r="P16">
        <f t="shared" si="1"/>
        <v>33.519999999999996</v>
      </c>
      <c r="Q16">
        <f t="shared" si="32"/>
        <v>9.36</v>
      </c>
      <c r="R16">
        <v>0</v>
      </c>
      <c r="S16">
        <v>0</v>
      </c>
      <c r="T16">
        <f t="shared" si="2"/>
        <v>40.050000000000011</v>
      </c>
      <c r="U16">
        <f t="shared" si="15"/>
        <v>19.189999999999998</v>
      </c>
      <c r="V16">
        <f t="shared" si="3"/>
        <v>5.0250000000000004</v>
      </c>
      <c r="W16">
        <f t="shared" si="29"/>
        <v>8.5739999999999998</v>
      </c>
      <c r="X16">
        <f t="shared" si="22"/>
        <v>13.748000000000001</v>
      </c>
      <c r="Y16">
        <v>0</v>
      </c>
      <c r="Z16">
        <f t="shared" si="23"/>
        <v>8.0500000000000007</v>
      </c>
      <c r="AA16">
        <f t="shared" si="19"/>
        <v>13.5</v>
      </c>
      <c r="AB16">
        <v>0</v>
      </c>
      <c r="AC16">
        <f t="shared" si="4"/>
        <v>17.999999999999996</v>
      </c>
      <c r="AD16">
        <f t="shared" si="24"/>
        <v>10.360000000000001</v>
      </c>
      <c r="AE16">
        <f t="shared" si="5"/>
        <v>25.050000000000004</v>
      </c>
      <c r="AF16">
        <f t="shared" si="11"/>
        <v>22.619999999999994</v>
      </c>
      <c r="AG16">
        <f t="shared" si="16"/>
        <v>28.000000000000004</v>
      </c>
      <c r="AH16">
        <f t="shared" si="25"/>
        <v>6.5450000000000017</v>
      </c>
      <c r="AI16">
        <f t="shared" si="26"/>
        <v>8.75</v>
      </c>
      <c r="AJ16">
        <f t="shared" si="30"/>
        <v>3</v>
      </c>
      <c r="AK16">
        <v>12</v>
      </c>
      <c r="AL16">
        <f t="shared" si="27"/>
        <v>10.5</v>
      </c>
      <c r="AM16">
        <f t="shared" si="17"/>
        <v>11.200000000000003</v>
      </c>
      <c r="AN16">
        <f t="shared" si="18"/>
        <v>34.400000000000006</v>
      </c>
      <c r="AO16">
        <v>0</v>
      </c>
      <c r="AP16">
        <f t="shared" si="28"/>
        <v>8.75</v>
      </c>
      <c r="AQ16">
        <v>0</v>
      </c>
      <c r="AR16">
        <f t="shared" si="6"/>
        <v>9.9</v>
      </c>
      <c r="AS16">
        <f t="shared" si="31"/>
        <v>7.02</v>
      </c>
      <c r="AT16">
        <f t="shared" si="20"/>
        <v>40</v>
      </c>
      <c r="AU16">
        <v>0</v>
      </c>
      <c r="AV16">
        <f t="shared" si="21"/>
        <v>8</v>
      </c>
      <c r="AW16">
        <v>10</v>
      </c>
      <c r="AX16">
        <f t="shared" si="7"/>
        <v>8.9999999999999982</v>
      </c>
      <c r="AY16">
        <v>0</v>
      </c>
    </row>
    <row r="17" spans="1:51" x14ac:dyDescent="0.35">
      <c r="A17">
        <v>2015</v>
      </c>
      <c r="B17">
        <v>0</v>
      </c>
      <c r="C17">
        <v>0</v>
      </c>
      <c r="D17">
        <f t="shared" si="12"/>
        <v>7.81</v>
      </c>
      <c r="E17">
        <v>0</v>
      </c>
      <c r="F17">
        <f t="shared" si="8"/>
        <v>15.399999999999997</v>
      </c>
      <c r="G17">
        <f t="shared" si="13"/>
        <v>14.300000000000002</v>
      </c>
      <c r="H17">
        <f t="shared" si="0"/>
        <v>23.7</v>
      </c>
      <c r="I17">
        <f t="shared" si="14"/>
        <v>13.440000000000005</v>
      </c>
      <c r="J17">
        <v>0</v>
      </c>
      <c r="K17">
        <v>0</v>
      </c>
      <c r="L17">
        <f t="shared" si="9"/>
        <v>23.419999999999998</v>
      </c>
      <c r="M17">
        <v>0</v>
      </c>
      <c r="N17">
        <f t="shared" si="10"/>
        <v>19.2</v>
      </c>
      <c r="O17">
        <f t="shared" si="33"/>
        <v>2.84</v>
      </c>
      <c r="P17">
        <f t="shared" si="1"/>
        <v>35.699999999999996</v>
      </c>
      <c r="Q17">
        <f t="shared" si="32"/>
        <v>11.36</v>
      </c>
      <c r="R17">
        <v>0</v>
      </c>
      <c r="S17">
        <v>0</v>
      </c>
      <c r="T17">
        <f t="shared" si="2"/>
        <v>42.720000000000013</v>
      </c>
      <c r="U17">
        <f t="shared" si="15"/>
        <v>21.11</v>
      </c>
      <c r="V17">
        <f t="shared" si="3"/>
        <v>5.36</v>
      </c>
      <c r="W17">
        <f t="shared" si="29"/>
        <v>10.003</v>
      </c>
      <c r="X17">
        <f t="shared" si="22"/>
        <v>15.712000000000002</v>
      </c>
      <c r="Y17">
        <v>0</v>
      </c>
      <c r="Z17">
        <f t="shared" si="23"/>
        <v>9.2000000000000011</v>
      </c>
      <c r="AA17">
        <v>15</v>
      </c>
      <c r="AB17">
        <v>0</v>
      </c>
      <c r="AC17">
        <f t="shared" si="4"/>
        <v>19.199999999999996</v>
      </c>
      <c r="AD17">
        <f t="shared" si="24"/>
        <v>11.840000000000002</v>
      </c>
      <c r="AE17">
        <f t="shared" si="5"/>
        <v>26.720000000000006</v>
      </c>
      <c r="AF17">
        <f t="shared" si="11"/>
        <v>24.359999999999992</v>
      </c>
      <c r="AG17">
        <f t="shared" si="16"/>
        <v>30.800000000000004</v>
      </c>
      <c r="AH17">
        <f t="shared" si="25"/>
        <v>7.4800000000000022</v>
      </c>
      <c r="AI17">
        <f t="shared" si="26"/>
        <v>10</v>
      </c>
      <c r="AJ17">
        <f t="shared" si="30"/>
        <v>3.5</v>
      </c>
      <c r="AK17">
        <v>15</v>
      </c>
      <c r="AL17">
        <f t="shared" si="27"/>
        <v>12</v>
      </c>
      <c r="AM17">
        <f t="shared" si="17"/>
        <v>12.320000000000004</v>
      </c>
      <c r="AN17">
        <f t="shared" si="18"/>
        <v>37.840000000000003</v>
      </c>
      <c r="AO17">
        <v>0.33</v>
      </c>
      <c r="AP17">
        <f t="shared" si="28"/>
        <v>10</v>
      </c>
      <c r="AQ17">
        <v>0</v>
      </c>
      <c r="AR17">
        <v>10</v>
      </c>
      <c r="AS17">
        <f t="shared" si="31"/>
        <v>8.19</v>
      </c>
      <c r="AT17">
        <f t="shared" si="20"/>
        <v>45</v>
      </c>
      <c r="AU17">
        <v>0</v>
      </c>
      <c r="AV17">
        <f t="shared" si="21"/>
        <v>9</v>
      </c>
      <c r="AW17">
        <v>0</v>
      </c>
      <c r="AX17">
        <v>10</v>
      </c>
      <c r="AY17">
        <v>0</v>
      </c>
    </row>
    <row r="18" spans="1:51" x14ac:dyDescent="0.35">
      <c r="A18">
        <v>2016</v>
      </c>
      <c r="B18">
        <v>0</v>
      </c>
      <c r="C18">
        <v>0</v>
      </c>
      <c r="D18">
        <f t="shared" si="12"/>
        <v>8.52</v>
      </c>
      <c r="E18">
        <v>0</v>
      </c>
      <c r="F18">
        <f t="shared" si="8"/>
        <v>16.499999999999996</v>
      </c>
      <c r="G18">
        <f t="shared" si="13"/>
        <v>15.600000000000003</v>
      </c>
      <c r="H18">
        <f t="shared" si="0"/>
        <v>25.2</v>
      </c>
      <c r="I18">
        <f t="shared" si="14"/>
        <v>14.560000000000006</v>
      </c>
      <c r="J18">
        <v>0</v>
      </c>
      <c r="K18">
        <v>0</v>
      </c>
      <c r="L18">
        <f t="shared" si="9"/>
        <v>24.979999999999997</v>
      </c>
      <c r="M18">
        <v>0</v>
      </c>
      <c r="N18">
        <f t="shared" si="10"/>
        <v>20.48</v>
      </c>
      <c r="O18">
        <f t="shared" si="33"/>
        <v>3.55</v>
      </c>
      <c r="P18">
        <f t="shared" si="1"/>
        <v>37.879999999999995</v>
      </c>
      <c r="Q18">
        <f t="shared" si="32"/>
        <v>13.36</v>
      </c>
      <c r="R18">
        <v>0</v>
      </c>
      <c r="S18">
        <v>0</v>
      </c>
      <c r="T18">
        <f t="shared" si="2"/>
        <v>45.390000000000015</v>
      </c>
      <c r="U18">
        <f t="shared" si="15"/>
        <v>23.03</v>
      </c>
      <c r="V18">
        <f t="shared" si="3"/>
        <v>5.6950000000000003</v>
      </c>
      <c r="W18">
        <f>W17 + 2.67</f>
        <v>12.673</v>
      </c>
      <c r="X18">
        <f t="shared" si="22"/>
        <v>17.676000000000002</v>
      </c>
      <c r="Y18">
        <v>0</v>
      </c>
      <c r="Z18">
        <f t="shared" si="23"/>
        <v>10.350000000000001</v>
      </c>
      <c r="AA18">
        <v>15</v>
      </c>
      <c r="AB18">
        <v>0</v>
      </c>
      <c r="AC18">
        <f t="shared" si="4"/>
        <v>20.399999999999995</v>
      </c>
      <c r="AD18">
        <f t="shared" si="24"/>
        <v>13.320000000000002</v>
      </c>
      <c r="AE18">
        <f t="shared" si="5"/>
        <v>28.390000000000008</v>
      </c>
      <c r="AF18">
        <f t="shared" si="11"/>
        <v>26.099999999999991</v>
      </c>
      <c r="AG18">
        <f t="shared" si="16"/>
        <v>33.6</v>
      </c>
      <c r="AH18">
        <f t="shared" si="25"/>
        <v>8.4150000000000027</v>
      </c>
      <c r="AI18">
        <v>10</v>
      </c>
      <c r="AJ18">
        <f t="shared" si="30"/>
        <v>4</v>
      </c>
      <c r="AK18">
        <v>0</v>
      </c>
      <c r="AL18">
        <f t="shared" si="27"/>
        <v>13.5</v>
      </c>
      <c r="AM18">
        <f t="shared" si="17"/>
        <v>13.440000000000005</v>
      </c>
      <c r="AN18">
        <f t="shared" si="18"/>
        <v>41.28</v>
      </c>
      <c r="AO18">
        <f>AO17+0.33</f>
        <v>0.66</v>
      </c>
      <c r="AP18">
        <v>10</v>
      </c>
      <c r="AQ18">
        <v>0</v>
      </c>
      <c r="AR18">
        <v>11</v>
      </c>
      <c r="AS18">
        <f t="shared" si="31"/>
        <v>9.36</v>
      </c>
      <c r="AT18">
        <f t="shared" si="20"/>
        <v>50</v>
      </c>
      <c r="AU18">
        <v>0</v>
      </c>
      <c r="AV18">
        <f t="shared" si="21"/>
        <v>10</v>
      </c>
      <c r="AW18">
        <v>0</v>
      </c>
      <c r="AX18">
        <v>10</v>
      </c>
      <c r="AY18">
        <v>0</v>
      </c>
    </row>
    <row r="19" spans="1:51" x14ac:dyDescent="0.35">
      <c r="A19">
        <v>2017</v>
      </c>
      <c r="B19">
        <v>0</v>
      </c>
      <c r="C19">
        <v>0</v>
      </c>
      <c r="D19">
        <f t="shared" si="12"/>
        <v>9.23</v>
      </c>
      <c r="E19">
        <v>0</v>
      </c>
      <c r="F19">
        <f>F18 + 2.3</f>
        <v>18.799999999999997</v>
      </c>
      <c r="G19">
        <f t="shared" si="13"/>
        <v>16.900000000000002</v>
      </c>
      <c r="H19">
        <f t="shared" si="0"/>
        <v>26.7</v>
      </c>
      <c r="I19">
        <f t="shared" si="14"/>
        <v>15.680000000000007</v>
      </c>
      <c r="J19">
        <v>0</v>
      </c>
      <c r="K19">
        <v>0</v>
      </c>
      <c r="L19">
        <f t="shared" si="9"/>
        <v>26.539999999999996</v>
      </c>
      <c r="M19">
        <v>0</v>
      </c>
      <c r="N19">
        <f t="shared" si="10"/>
        <v>21.76</v>
      </c>
      <c r="O19">
        <f t="shared" si="33"/>
        <v>4.26</v>
      </c>
      <c r="P19">
        <f t="shared" si="1"/>
        <v>40.059999999999995</v>
      </c>
      <c r="Q19">
        <f t="shared" si="32"/>
        <v>15.36</v>
      </c>
      <c r="R19">
        <v>0</v>
      </c>
      <c r="S19">
        <v>0</v>
      </c>
      <c r="T19">
        <f t="shared" si="2"/>
        <v>48.060000000000016</v>
      </c>
      <c r="U19">
        <f t="shared" si="15"/>
        <v>24.950000000000003</v>
      </c>
      <c r="V19">
        <f t="shared" si="3"/>
        <v>6.03</v>
      </c>
      <c r="W19">
        <f t="shared" ref="W19:W27" si="34">W18 + 2.67</f>
        <v>15.343</v>
      </c>
      <c r="X19">
        <f t="shared" si="22"/>
        <v>19.64</v>
      </c>
      <c r="Y19">
        <v>0</v>
      </c>
      <c r="Z19">
        <f t="shared" si="23"/>
        <v>11.500000000000002</v>
      </c>
      <c r="AA19">
        <v>15</v>
      </c>
      <c r="AB19">
        <v>0</v>
      </c>
      <c r="AC19">
        <f t="shared" si="4"/>
        <v>21.599999999999994</v>
      </c>
      <c r="AD19">
        <f t="shared" si="24"/>
        <v>14.800000000000002</v>
      </c>
      <c r="AE19">
        <f t="shared" si="5"/>
        <v>30.060000000000009</v>
      </c>
      <c r="AF19">
        <f t="shared" si="11"/>
        <v>27.839999999999989</v>
      </c>
      <c r="AG19">
        <f t="shared" si="16"/>
        <v>36.4</v>
      </c>
      <c r="AH19">
        <f t="shared" si="25"/>
        <v>9.3500000000000032</v>
      </c>
      <c r="AI19">
        <v>10</v>
      </c>
      <c r="AJ19">
        <f t="shared" si="30"/>
        <v>4.5</v>
      </c>
      <c r="AK19">
        <v>0</v>
      </c>
      <c r="AL19">
        <f t="shared" si="27"/>
        <v>15</v>
      </c>
      <c r="AM19">
        <f t="shared" si="17"/>
        <v>14.560000000000006</v>
      </c>
      <c r="AN19">
        <f t="shared" si="18"/>
        <v>44.72</v>
      </c>
      <c r="AO19">
        <f t="shared" ref="AO19:AO22" si="35">AO18+0.33</f>
        <v>0.99</v>
      </c>
      <c r="AP19">
        <v>10</v>
      </c>
      <c r="AQ19">
        <v>0</v>
      </c>
      <c r="AR19">
        <v>12</v>
      </c>
      <c r="AS19">
        <f t="shared" si="31"/>
        <v>10.53</v>
      </c>
      <c r="AT19">
        <v>55</v>
      </c>
      <c r="AU19">
        <v>0</v>
      </c>
      <c r="AV19">
        <f t="shared" si="21"/>
        <v>11</v>
      </c>
      <c r="AW19">
        <v>0</v>
      </c>
      <c r="AX19">
        <v>10</v>
      </c>
      <c r="AY19">
        <v>0</v>
      </c>
    </row>
    <row r="20" spans="1:51" x14ac:dyDescent="0.35">
      <c r="A20">
        <v>2018</v>
      </c>
      <c r="B20">
        <v>0</v>
      </c>
      <c r="C20">
        <v>0</v>
      </c>
      <c r="D20">
        <f t="shared" si="12"/>
        <v>9.9400000000000013</v>
      </c>
      <c r="E20">
        <v>0</v>
      </c>
      <c r="F20">
        <f t="shared" ref="F20:F27" si="36">F19 + 2.3</f>
        <v>21.099999999999998</v>
      </c>
      <c r="G20">
        <f t="shared" si="13"/>
        <v>18.200000000000003</v>
      </c>
      <c r="H20">
        <f t="shared" si="0"/>
        <v>28.2</v>
      </c>
      <c r="I20">
        <f t="shared" si="14"/>
        <v>16.800000000000008</v>
      </c>
      <c r="J20">
        <v>0</v>
      </c>
      <c r="K20">
        <v>0</v>
      </c>
      <c r="L20">
        <f t="shared" si="9"/>
        <v>28.099999999999994</v>
      </c>
      <c r="M20">
        <v>0</v>
      </c>
      <c r="N20">
        <f t="shared" si="10"/>
        <v>23.040000000000003</v>
      </c>
      <c r="O20">
        <f t="shared" si="33"/>
        <v>4.97</v>
      </c>
      <c r="P20">
        <v>40</v>
      </c>
      <c r="Q20">
        <f t="shared" si="32"/>
        <v>17.36</v>
      </c>
      <c r="R20">
        <v>0</v>
      </c>
      <c r="S20">
        <v>0</v>
      </c>
      <c r="T20">
        <f t="shared" si="2"/>
        <v>50.730000000000018</v>
      </c>
      <c r="U20">
        <f t="shared" si="15"/>
        <v>26.870000000000005</v>
      </c>
      <c r="V20">
        <f t="shared" si="3"/>
        <v>6.3650000000000002</v>
      </c>
      <c r="W20">
        <f t="shared" si="34"/>
        <v>18.012999999999998</v>
      </c>
      <c r="X20">
        <f t="shared" si="22"/>
        <v>21.603999999999999</v>
      </c>
      <c r="Y20">
        <v>0</v>
      </c>
      <c r="Z20">
        <f t="shared" si="23"/>
        <v>12.650000000000002</v>
      </c>
      <c r="AA20">
        <v>15</v>
      </c>
      <c r="AB20">
        <v>0</v>
      </c>
      <c r="AC20">
        <f t="shared" si="4"/>
        <v>22.799999999999994</v>
      </c>
      <c r="AD20">
        <f t="shared" si="24"/>
        <v>16.28</v>
      </c>
      <c r="AE20">
        <f t="shared" si="5"/>
        <v>31.730000000000011</v>
      </c>
      <c r="AF20">
        <f t="shared" si="11"/>
        <v>29.579999999999988</v>
      </c>
      <c r="AG20">
        <f t="shared" si="16"/>
        <v>39.199999999999996</v>
      </c>
      <c r="AH20">
        <f t="shared" si="25"/>
        <v>10.285000000000004</v>
      </c>
      <c r="AI20">
        <v>10</v>
      </c>
      <c r="AJ20">
        <f t="shared" si="30"/>
        <v>5</v>
      </c>
      <c r="AK20">
        <v>0</v>
      </c>
      <c r="AL20">
        <f t="shared" si="27"/>
        <v>16.5</v>
      </c>
      <c r="AM20">
        <f t="shared" si="17"/>
        <v>15.680000000000007</v>
      </c>
      <c r="AN20">
        <f t="shared" si="18"/>
        <v>48.16</v>
      </c>
      <c r="AO20">
        <f t="shared" si="35"/>
        <v>1.32</v>
      </c>
      <c r="AP20">
        <v>10</v>
      </c>
      <c r="AQ20">
        <v>0</v>
      </c>
      <c r="AR20">
        <v>13</v>
      </c>
      <c r="AS20">
        <f t="shared" si="31"/>
        <v>11.7</v>
      </c>
      <c r="AT20">
        <f>AT19+1.3</f>
        <v>56.3</v>
      </c>
      <c r="AU20">
        <v>0</v>
      </c>
      <c r="AV20">
        <f t="shared" si="21"/>
        <v>12</v>
      </c>
      <c r="AW20">
        <v>0</v>
      </c>
      <c r="AX20">
        <v>10</v>
      </c>
      <c r="AY20">
        <v>0</v>
      </c>
    </row>
    <row r="21" spans="1:51" x14ac:dyDescent="0.35">
      <c r="A21">
        <v>2019</v>
      </c>
      <c r="B21">
        <v>0</v>
      </c>
      <c r="C21">
        <v>0</v>
      </c>
      <c r="D21">
        <f t="shared" si="12"/>
        <v>10.650000000000002</v>
      </c>
      <c r="E21">
        <v>0</v>
      </c>
      <c r="F21">
        <f t="shared" si="36"/>
        <v>23.4</v>
      </c>
      <c r="G21">
        <f t="shared" si="13"/>
        <v>19.500000000000004</v>
      </c>
      <c r="H21">
        <f t="shared" si="0"/>
        <v>29.7</v>
      </c>
      <c r="I21">
        <f t="shared" si="14"/>
        <v>17.920000000000009</v>
      </c>
      <c r="J21">
        <v>0</v>
      </c>
      <c r="K21">
        <v>0</v>
      </c>
      <c r="L21">
        <f t="shared" si="9"/>
        <v>29.659999999999993</v>
      </c>
      <c r="M21">
        <v>0</v>
      </c>
      <c r="N21">
        <f t="shared" si="10"/>
        <v>24.320000000000004</v>
      </c>
      <c r="O21">
        <f t="shared" si="33"/>
        <v>5.68</v>
      </c>
      <c r="P21">
        <f xml:space="preserve"> P20 + 3.57</f>
        <v>43.57</v>
      </c>
      <c r="Q21">
        <f t="shared" si="32"/>
        <v>19.36</v>
      </c>
      <c r="R21">
        <v>0</v>
      </c>
      <c r="S21">
        <v>0</v>
      </c>
      <c r="T21">
        <f t="shared" si="2"/>
        <v>53.40000000000002</v>
      </c>
      <c r="U21">
        <f t="shared" si="15"/>
        <v>28.790000000000006</v>
      </c>
      <c r="V21">
        <f t="shared" si="3"/>
        <v>6.7</v>
      </c>
      <c r="W21">
        <f t="shared" si="34"/>
        <v>20.683</v>
      </c>
      <c r="X21">
        <f t="shared" si="22"/>
        <v>23.567999999999998</v>
      </c>
      <c r="Y21">
        <v>0</v>
      </c>
      <c r="Z21">
        <f t="shared" si="23"/>
        <v>13.800000000000002</v>
      </c>
      <c r="AA21">
        <v>15</v>
      </c>
      <c r="AB21">
        <v>0</v>
      </c>
      <c r="AC21">
        <f t="shared" si="4"/>
        <v>23.999999999999993</v>
      </c>
      <c r="AD21">
        <f t="shared" si="24"/>
        <v>17.760000000000002</v>
      </c>
      <c r="AE21">
        <f t="shared" si="5"/>
        <v>33.400000000000013</v>
      </c>
      <c r="AF21">
        <f t="shared" si="11"/>
        <v>31.319999999999986</v>
      </c>
      <c r="AG21">
        <f t="shared" si="16"/>
        <v>41.999999999999993</v>
      </c>
      <c r="AH21">
        <f t="shared" si="25"/>
        <v>11.220000000000004</v>
      </c>
      <c r="AI21">
        <v>10</v>
      </c>
      <c r="AJ21">
        <f t="shared" si="30"/>
        <v>5.5</v>
      </c>
      <c r="AK21">
        <v>0</v>
      </c>
      <c r="AL21">
        <f t="shared" si="27"/>
        <v>18</v>
      </c>
      <c r="AM21">
        <f t="shared" si="17"/>
        <v>16.800000000000008</v>
      </c>
      <c r="AN21">
        <f t="shared" si="18"/>
        <v>51.599999999999994</v>
      </c>
      <c r="AO21">
        <f t="shared" si="35"/>
        <v>1.6500000000000001</v>
      </c>
      <c r="AP21">
        <v>10</v>
      </c>
      <c r="AQ21">
        <v>0</v>
      </c>
      <c r="AR21">
        <v>14</v>
      </c>
      <c r="AS21">
        <f t="shared" si="31"/>
        <v>12.87</v>
      </c>
      <c r="AT21">
        <f t="shared" ref="AT21:AT26" si="37">AT20+1.33</f>
        <v>57.629999999999995</v>
      </c>
      <c r="AU21">
        <v>0</v>
      </c>
      <c r="AV21">
        <f t="shared" si="21"/>
        <v>13</v>
      </c>
      <c r="AW21">
        <v>0</v>
      </c>
      <c r="AX21">
        <v>10</v>
      </c>
      <c r="AY21">
        <v>0</v>
      </c>
    </row>
    <row r="22" spans="1:51" x14ac:dyDescent="0.35">
      <c r="A22">
        <v>2020</v>
      </c>
      <c r="B22">
        <v>0</v>
      </c>
      <c r="C22">
        <v>0</v>
      </c>
      <c r="D22">
        <f t="shared" si="12"/>
        <v>11.360000000000003</v>
      </c>
      <c r="E22">
        <v>0</v>
      </c>
      <c r="F22">
        <f t="shared" si="36"/>
        <v>25.7</v>
      </c>
      <c r="G22">
        <f t="shared" si="13"/>
        <v>20.800000000000004</v>
      </c>
      <c r="H22">
        <f t="shared" si="0"/>
        <v>31.2</v>
      </c>
      <c r="I22">
        <f t="shared" si="14"/>
        <v>19.04000000000001</v>
      </c>
      <c r="J22">
        <v>0</v>
      </c>
      <c r="K22">
        <v>0</v>
      </c>
      <c r="L22">
        <v>30</v>
      </c>
      <c r="M22">
        <v>0</v>
      </c>
      <c r="N22">
        <f t="shared" si="10"/>
        <v>25.600000000000005</v>
      </c>
      <c r="O22">
        <f t="shared" si="33"/>
        <v>6.39</v>
      </c>
      <c r="P22">
        <f t="shared" ref="P22:P26" si="38" xml:space="preserve"> P21 + 3.57</f>
        <v>47.14</v>
      </c>
      <c r="Q22">
        <v>20</v>
      </c>
      <c r="R22">
        <v>0</v>
      </c>
      <c r="S22">
        <v>0</v>
      </c>
      <c r="T22">
        <f t="shared" si="2"/>
        <v>56.070000000000022</v>
      </c>
      <c r="U22">
        <v>30.5</v>
      </c>
      <c r="V22">
        <f t="shared" si="3"/>
        <v>7.0350000000000001</v>
      </c>
      <c r="W22">
        <f t="shared" si="34"/>
        <v>23.353000000000002</v>
      </c>
      <c r="X22">
        <f t="shared" si="22"/>
        <v>25.531999999999996</v>
      </c>
      <c r="Y22">
        <v>0</v>
      </c>
      <c r="Z22">
        <f t="shared" si="23"/>
        <v>14.950000000000003</v>
      </c>
      <c r="AA22">
        <v>15</v>
      </c>
      <c r="AB22">
        <v>0</v>
      </c>
      <c r="AC22">
        <f t="shared" si="4"/>
        <v>25.199999999999992</v>
      </c>
      <c r="AD22">
        <f t="shared" si="24"/>
        <v>19.240000000000002</v>
      </c>
      <c r="AE22">
        <f t="shared" si="5"/>
        <v>35.070000000000014</v>
      </c>
      <c r="AF22">
        <f t="shared" si="11"/>
        <v>33.059999999999988</v>
      </c>
      <c r="AG22">
        <f t="shared" si="16"/>
        <v>44.79999999999999</v>
      </c>
      <c r="AH22">
        <f t="shared" si="25"/>
        <v>12.155000000000005</v>
      </c>
      <c r="AI22">
        <v>10</v>
      </c>
      <c r="AJ22">
        <f t="shared" si="30"/>
        <v>6</v>
      </c>
      <c r="AK22">
        <v>0</v>
      </c>
      <c r="AL22">
        <f t="shared" si="27"/>
        <v>19.5</v>
      </c>
      <c r="AM22">
        <v>18</v>
      </c>
      <c r="AN22">
        <f t="shared" si="18"/>
        <v>55.039999999999992</v>
      </c>
      <c r="AO22">
        <f t="shared" si="35"/>
        <v>1.9800000000000002</v>
      </c>
      <c r="AP22">
        <v>10</v>
      </c>
      <c r="AQ22">
        <v>0</v>
      </c>
      <c r="AR22">
        <v>15</v>
      </c>
      <c r="AS22">
        <f t="shared" si="31"/>
        <v>14.04</v>
      </c>
      <c r="AT22">
        <f t="shared" si="37"/>
        <v>58.959999999999994</v>
      </c>
      <c r="AU22">
        <v>2.5</v>
      </c>
      <c r="AV22">
        <v>15</v>
      </c>
      <c r="AW22">
        <v>0</v>
      </c>
      <c r="AX22">
        <v>10</v>
      </c>
      <c r="AY22">
        <v>0</v>
      </c>
    </row>
    <row r="23" spans="1:51" x14ac:dyDescent="0.35">
      <c r="A23">
        <v>2021</v>
      </c>
      <c r="B23">
        <v>0</v>
      </c>
      <c r="C23">
        <v>0</v>
      </c>
      <c r="D23">
        <f t="shared" si="12"/>
        <v>12.070000000000004</v>
      </c>
      <c r="E23">
        <v>0</v>
      </c>
      <c r="F23">
        <f t="shared" si="36"/>
        <v>28</v>
      </c>
      <c r="G23">
        <f t="shared" si="13"/>
        <v>22.100000000000005</v>
      </c>
      <c r="H23">
        <f t="shared" si="0"/>
        <v>32.700000000000003</v>
      </c>
      <c r="I23">
        <f t="shared" si="14"/>
        <v>20.160000000000011</v>
      </c>
      <c r="J23">
        <v>0</v>
      </c>
      <c r="K23">
        <v>0</v>
      </c>
      <c r="L23">
        <v>31</v>
      </c>
      <c r="M23">
        <v>0</v>
      </c>
      <c r="N23">
        <f t="shared" si="10"/>
        <v>26.880000000000006</v>
      </c>
      <c r="O23">
        <f t="shared" si="33"/>
        <v>7.1</v>
      </c>
      <c r="P23">
        <f t="shared" si="38"/>
        <v>50.71</v>
      </c>
      <c r="Q23">
        <v>20</v>
      </c>
      <c r="R23">
        <v>0</v>
      </c>
      <c r="S23">
        <v>0</v>
      </c>
      <c r="T23">
        <f t="shared" si="2"/>
        <v>58.740000000000023</v>
      </c>
      <c r="U23">
        <f>U22 + 1.95</f>
        <v>32.450000000000003</v>
      </c>
      <c r="V23">
        <v>7.5</v>
      </c>
      <c r="W23">
        <f t="shared" si="34"/>
        <v>26.023000000000003</v>
      </c>
      <c r="X23">
        <f t="shared" si="22"/>
        <v>27.495999999999995</v>
      </c>
      <c r="Y23">
        <v>0</v>
      </c>
      <c r="Z23">
        <v>15</v>
      </c>
      <c r="AA23">
        <v>0</v>
      </c>
      <c r="AB23">
        <v>0</v>
      </c>
      <c r="AC23">
        <f t="shared" si="4"/>
        <v>26.399999999999991</v>
      </c>
      <c r="AD23">
        <f t="shared" si="24"/>
        <v>20.720000000000002</v>
      </c>
      <c r="AE23">
        <f t="shared" si="5"/>
        <v>36.740000000000016</v>
      </c>
      <c r="AF23">
        <f t="shared" si="11"/>
        <v>34.79999999999999</v>
      </c>
      <c r="AG23">
        <f t="shared" si="16"/>
        <v>47.599999999999987</v>
      </c>
      <c r="AH23">
        <v>12.5</v>
      </c>
      <c r="AI23">
        <v>10</v>
      </c>
      <c r="AJ23">
        <f t="shared" si="30"/>
        <v>6.5</v>
      </c>
      <c r="AK23">
        <v>0</v>
      </c>
      <c r="AL23">
        <f t="shared" si="27"/>
        <v>21</v>
      </c>
      <c r="AM23">
        <v>18</v>
      </c>
      <c r="AN23">
        <f t="shared" si="18"/>
        <v>58.47999999999999</v>
      </c>
      <c r="AO23">
        <v>2</v>
      </c>
      <c r="AP23">
        <v>10</v>
      </c>
      <c r="AQ23">
        <v>0</v>
      </c>
      <c r="AR23">
        <v>16</v>
      </c>
      <c r="AS23">
        <f t="shared" si="31"/>
        <v>15.209999999999999</v>
      </c>
      <c r="AT23">
        <f t="shared" si="37"/>
        <v>60.289999999999992</v>
      </c>
      <c r="AU23">
        <v>5</v>
      </c>
      <c r="AV23">
        <f>AV22+3.4</f>
        <v>18.399999999999999</v>
      </c>
      <c r="AW23">
        <v>0</v>
      </c>
      <c r="AX23">
        <v>10</v>
      </c>
      <c r="AY23">
        <v>0</v>
      </c>
    </row>
    <row r="24" spans="1:51" x14ac:dyDescent="0.35">
      <c r="A24">
        <v>2022</v>
      </c>
      <c r="B24">
        <v>0</v>
      </c>
      <c r="C24">
        <v>0</v>
      </c>
      <c r="D24">
        <f t="shared" si="12"/>
        <v>12.780000000000005</v>
      </c>
      <c r="E24">
        <v>0</v>
      </c>
      <c r="F24">
        <f t="shared" si="36"/>
        <v>30.3</v>
      </c>
      <c r="G24">
        <f t="shared" si="13"/>
        <v>23.400000000000006</v>
      </c>
      <c r="H24">
        <f t="shared" si="0"/>
        <v>34.200000000000003</v>
      </c>
      <c r="I24">
        <f t="shared" si="14"/>
        <v>21.280000000000012</v>
      </c>
      <c r="J24">
        <v>0</v>
      </c>
      <c r="K24">
        <v>0</v>
      </c>
      <c r="L24">
        <v>32</v>
      </c>
      <c r="M24">
        <v>0</v>
      </c>
      <c r="N24">
        <f t="shared" si="10"/>
        <v>28.160000000000007</v>
      </c>
      <c r="O24">
        <f t="shared" si="33"/>
        <v>7.81</v>
      </c>
      <c r="P24">
        <f t="shared" si="38"/>
        <v>54.28</v>
      </c>
      <c r="Q24">
        <v>20</v>
      </c>
      <c r="R24">
        <v>0</v>
      </c>
      <c r="S24">
        <v>0</v>
      </c>
      <c r="T24">
        <f t="shared" si="2"/>
        <v>61.410000000000025</v>
      </c>
      <c r="U24">
        <f t="shared" ref="U24:U27" si="39">U23 + 1.95</f>
        <v>34.400000000000006</v>
      </c>
      <c r="V24">
        <f>V23 + 1.533</f>
        <v>9.0329999999999995</v>
      </c>
      <c r="W24">
        <f t="shared" si="34"/>
        <v>28.693000000000005</v>
      </c>
      <c r="X24">
        <f t="shared" si="22"/>
        <v>29.459999999999994</v>
      </c>
      <c r="Y24">
        <v>0</v>
      </c>
      <c r="Z24">
        <v>15</v>
      </c>
      <c r="AA24">
        <v>0</v>
      </c>
      <c r="AB24">
        <v>0</v>
      </c>
      <c r="AC24">
        <f t="shared" si="4"/>
        <v>27.599999999999991</v>
      </c>
      <c r="AD24">
        <f t="shared" si="24"/>
        <v>22.200000000000003</v>
      </c>
      <c r="AE24">
        <f t="shared" si="5"/>
        <v>38.410000000000018</v>
      </c>
      <c r="AF24">
        <f t="shared" si="11"/>
        <v>36.539999999999992</v>
      </c>
      <c r="AG24">
        <f t="shared" si="16"/>
        <v>50.399999999999984</v>
      </c>
      <c r="AH24">
        <v>12.5</v>
      </c>
      <c r="AI24">
        <v>10</v>
      </c>
      <c r="AJ24">
        <f t="shared" si="30"/>
        <v>7</v>
      </c>
      <c r="AK24">
        <v>0</v>
      </c>
      <c r="AL24">
        <f t="shared" si="27"/>
        <v>22.5</v>
      </c>
      <c r="AM24">
        <v>18</v>
      </c>
      <c r="AN24">
        <f t="shared" si="18"/>
        <v>61.919999999999987</v>
      </c>
      <c r="AO24">
        <v>2</v>
      </c>
      <c r="AP24">
        <v>10</v>
      </c>
      <c r="AQ24">
        <v>0</v>
      </c>
      <c r="AR24">
        <v>17</v>
      </c>
      <c r="AS24">
        <f t="shared" si="31"/>
        <v>16.38</v>
      </c>
      <c r="AT24">
        <f t="shared" si="37"/>
        <v>61.61999999999999</v>
      </c>
      <c r="AU24">
        <v>7.5</v>
      </c>
      <c r="AV24">
        <f t="shared" ref="AV24:AV27" si="40">AV23+3.4</f>
        <v>21.799999999999997</v>
      </c>
      <c r="AW24">
        <v>0</v>
      </c>
      <c r="AX24">
        <v>10</v>
      </c>
      <c r="AY24">
        <v>0</v>
      </c>
    </row>
    <row r="25" spans="1:51" x14ac:dyDescent="0.35">
      <c r="A25">
        <v>2023</v>
      </c>
      <c r="B25">
        <v>0</v>
      </c>
      <c r="C25">
        <v>0</v>
      </c>
      <c r="D25">
        <f t="shared" si="12"/>
        <v>13.490000000000006</v>
      </c>
      <c r="E25">
        <v>0</v>
      </c>
      <c r="F25">
        <f t="shared" si="36"/>
        <v>32.6</v>
      </c>
      <c r="G25">
        <f t="shared" si="13"/>
        <v>24.700000000000006</v>
      </c>
      <c r="H25">
        <f t="shared" si="0"/>
        <v>35.700000000000003</v>
      </c>
      <c r="I25">
        <f t="shared" si="14"/>
        <v>22.400000000000013</v>
      </c>
      <c r="J25">
        <v>0</v>
      </c>
      <c r="K25">
        <v>0</v>
      </c>
      <c r="L25">
        <v>33</v>
      </c>
      <c r="M25">
        <v>0</v>
      </c>
      <c r="N25">
        <f t="shared" si="10"/>
        <v>29.440000000000008</v>
      </c>
      <c r="O25">
        <f t="shared" si="33"/>
        <v>8.52</v>
      </c>
      <c r="P25">
        <f t="shared" si="38"/>
        <v>57.85</v>
      </c>
      <c r="Q25">
        <v>20</v>
      </c>
      <c r="R25">
        <v>0</v>
      </c>
      <c r="S25">
        <v>0</v>
      </c>
      <c r="T25">
        <f t="shared" si="2"/>
        <v>64.080000000000027</v>
      </c>
      <c r="U25">
        <f t="shared" si="39"/>
        <v>36.350000000000009</v>
      </c>
      <c r="V25">
        <f t="shared" ref="V25:V27" si="41">V24 + 1.533</f>
        <v>10.565999999999999</v>
      </c>
      <c r="W25">
        <f t="shared" si="34"/>
        <v>31.363000000000007</v>
      </c>
      <c r="X25">
        <f t="shared" si="22"/>
        <v>31.423999999999992</v>
      </c>
      <c r="Y25">
        <v>0</v>
      </c>
      <c r="Z25">
        <v>15</v>
      </c>
      <c r="AA25">
        <v>0</v>
      </c>
      <c r="AB25">
        <v>0</v>
      </c>
      <c r="AC25">
        <f t="shared" si="4"/>
        <v>28.79999999999999</v>
      </c>
      <c r="AD25">
        <f t="shared" si="24"/>
        <v>23.680000000000003</v>
      </c>
      <c r="AE25">
        <f t="shared" si="5"/>
        <v>40.08000000000002</v>
      </c>
      <c r="AF25">
        <f t="shared" si="11"/>
        <v>38.279999999999994</v>
      </c>
      <c r="AG25">
        <f t="shared" si="16"/>
        <v>53.199999999999982</v>
      </c>
      <c r="AH25">
        <v>12.5</v>
      </c>
      <c r="AI25">
        <v>10</v>
      </c>
      <c r="AJ25">
        <f t="shared" si="30"/>
        <v>7.5</v>
      </c>
      <c r="AK25">
        <v>0</v>
      </c>
      <c r="AL25">
        <f t="shared" si="27"/>
        <v>24</v>
      </c>
      <c r="AM25">
        <v>18</v>
      </c>
      <c r="AN25">
        <f t="shared" si="18"/>
        <v>65.359999999999985</v>
      </c>
      <c r="AO25">
        <v>2</v>
      </c>
      <c r="AP25">
        <v>10</v>
      </c>
      <c r="AQ25">
        <v>0</v>
      </c>
      <c r="AR25">
        <v>18</v>
      </c>
      <c r="AS25">
        <f t="shared" si="31"/>
        <v>17.549999999999997</v>
      </c>
      <c r="AT25">
        <f t="shared" si="37"/>
        <v>62.949999999999989</v>
      </c>
      <c r="AU25">
        <v>9</v>
      </c>
      <c r="AV25">
        <f t="shared" si="40"/>
        <v>25.199999999999996</v>
      </c>
      <c r="AW25">
        <v>0</v>
      </c>
      <c r="AX25">
        <v>10</v>
      </c>
      <c r="AY25">
        <v>0</v>
      </c>
    </row>
    <row r="26" spans="1:51" x14ac:dyDescent="0.35">
      <c r="A26">
        <v>2024</v>
      </c>
      <c r="B26">
        <v>0</v>
      </c>
      <c r="C26">
        <v>0</v>
      </c>
      <c r="D26">
        <f t="shared" si="12"/>
        <v>14.200000000000006</v>
      </c>
      <c r="E26">
        <v>0</v>
      </c>
      <c r="F26">
        <f t="shared" si="36"/>
        <v>34.9</v>
      </c>
      <c r="G26">
        <f t="shared" si="13"/>
        <v>26.000000000000007</v>
      </c>
      <c r="H26">
        <f t="shared" si="0"/>
        <v>37.200000000000003</v>
      </c>
      <c r="I26">
        <f t="shared" si="14"/>
        <v>23.520000000000014</v>
      </c>
      <c r="J26">
        <v>0</v>
      </c>
      <c r="K26">
        <v>0</v>
      </c>
      <c r="L26">
        <v>34</v>
      </c>
      <c r="M26">
        <v>0</v>
      </c>
      <c r="N26">
        <f t="shared" si="10"/>
        <v>30.72000000000001</v>
      </c>
      <c r="O26">
        <f t="shared" si="33"/>
        <v>9.23</v>
      </c>
      <c r="P26">
        <f t="shared" si="38"/>
        <v>61.42</v>
      </c>
      <c r="Q26">
        <v>20</v>
      </c>
      <c r="R26">
        <v>0</v>
      </c>
      <c r="S26">
        <v>0</v>
      </c>
      <c r="T26">
        <f t="shared" si="2"/>
        <v>66.750000000000028</v>
      </c>
      <c r="U26">
        <f t="shared" si="39"/>
        <v>38.300000000000011</v>
      </c>
      <c r="V26">
        <f t="shared" si="41"/>
        <v>12.098999999999998</v>
      </c>
      <c r="W26">
        <f t="shared" si="34"/>
        <v>34.033000000000008</v>
      </c>
      <c r="X26">
        <f t="shared" si="22"/>
        <v>33.387999999999991</v>
      </c>
      <c r="Y26">
        <v>0</v>
      </c>
      <c r="Z26">
        <v>15</v>
      </c>
      <c r="AA26">
        <v>0</v>
      </c>
      <c r="AB26">
        <v>0</v>
      </c>
      <c r="AC26">
        <f t="shared" si="4"/>
        <v>29.999999999999989</v>
      </c>
      <c r="AD26">
        <f t="shared" si="24"/>
        <v>25.160000000000004</v>
      </c>
      <c r="AE26">
        <f t="shared" si="5"/>
        <v>41.750000000000021</v>
      </c>
      <c r="AF26">
        <f t="shared" si="11"/>
        <v>40.019999999999996</v>
      </c>
      <c r="AG26">
        <f t="shared" si="16"/>
        <v>55.999999999999979</v>
      </c>
      <c r="AH26">
        <v>12.5</v>
      </c>
      <c r="AI26">
        <v>10</v>
      </c>
      <c r="AJ26">
        <f t="shared" si="30"/>
        <v>8</v>
      </c>
      <c r="AK26">
        <v>0</v>
      </c>
      <c r="AL26">
        <f t="shared" si="27"/>
        <v>25.5</v>
      </c>
      <c r="AM26">
        <v>18</v>
      </c>
      <c r="AN26">
        <f t="shared" si="18"/>
        <v>68.799999999999983</v>
      </c>
      <c r="AO26">
        <v>2</v>
      </c>
      <c r="AP26">
        <v>10</v>
      </c>
      <c r="AQ26">
        <v>0</v>
      </c>
      <c r="AR26">
        <v>19</v>
      </c>
      <c r="AS26">
        <f t="shared" si="31"/>
        <v>18.72</v>
      </c>
      <c r="AT26">
        <f t="shared" si="37"/>
        <v>64.279999999999987</v>
      </c>
      <c r="AU26">
        <v>11.5</v>
      </c>
      <c r="AV26">
        <f t="shared" si="40"/>
        <v>28.599999999999994</v>
      </c>
      <c r="AW26">
        <v>0</v>
      </c>
      <c r="AX26">
        <v>10</v>
      </c>
      <c r="AY26">
        <v>0</v>
      </c>
    </row>
    <row r="27" spans="1:51" x14ac:dyDescent="0.35">
      <c r="A27">
        <v>2025</v>
      </c>
      <c r="B27">
        <v>0</v>
      </c>
      <c r="C27">
        <v>0</v>
      </c>
      <c r="D27">
        <f t="shared" si="12"/>
        <v>14.910000000000007</v>
      </c>
      <c r="E27">
        <v>0</v>
      </c>
      <c r="F27">
        <f t="shared" si="36"/>
        <v>37.199999999999996</v>
      </c>
      <c r="G27">
        <f t="shared" si="13"/>
        <v>27.300000000000008</v>
      </c>
      <c r="H27">
        <f t="shared" si="0"/>
        <v>38.700000000000003</v>
      </c>
      <c r="I27">
        <f t="shared" si="14"/>
        <v>24.640000000000015</v>
      </c>
      <c r="J27">
        <v>0</v>
      </c>
      <c r="K27">
        <v>0</v>
      </c>
      <c r="L27">
        <v>35</v>
      </c>
      <c r="M27">
        <v>0</v>
      </c>
      <c r="N27">
        <f t="shared" si="10"/>
        <v>32.000000000000007</v>
      </c>
      <c r="O27">
        <f t="shared" si="33"/>
        <v>9.9400000000000013</v>
      </c>
      <c r="P27">
        <v>65</v>
      </c>
      <c r="Q27">
        <v>20</v>
      </c>
      <c r="R27">
        <v>0</v>
      </c>
      <c r="S27">
        <v>0</v>
      </c>
      <c r="T27">
        <f t="shared" si="2"/>
        <v>69.42000000000003</v>
      </c>
      <c r="U27">
        <f t="shared" si="39"/>
        <v>40.250000000000014</v>
      </c>
      <c r="V27">
        <f t="shared" si="41"/>
        <v>13.631999999999998</v>
      </c>
      <c r="W27">
        <f t="shared" si="34"/>
        <v>36.70300000000001</v>
      </c>
      <c r="X27">
        <f t="shared" si="22"/>
        <v>35.35199999999999</v>
      </c>
      <c r="Y27">
        <v>0</v>
      </c>
      <c r="Z27">
        <v>15</v>
      </c>
      <c r="AA27">
        <v>0</v>
      </c>
      <c r="AB27">
        <v>0</v>
      </c>
      <c r="AC27">
        <f t="shared" si="4"/>
        <v>31.199999999999989</v>
      </c>
      <c r="AD27">
        <v>25.2</v>
      </c>
      <c r="AE27">
        <f t="shared" si="5"/>
        <v>43.420000000000023</v>
      </c>
      <c r="AF27">
        <f t="shared" si="11"/>
        <v>41.76</v>
      </c>
      <c r="AG27">
        <f t="shared" si="16"/>
        <v>58.799999999999976</v>
      </c>
      <c r="AH27">
        <v>12.5</v>
      </c>
      <c r="AI27">
        <v>10</v>
      </c>
      <c r="AJ27">
        <v>8.5</v>
      </c>
      <c r="AK27">
        <v>0</v>
      </c>
      <c r="AL27">
        <v>27</v>
      </c>
      <c r="AM27">
        <v>18</v>
      </c>
      <c r="AN27">
        <f t="shared" si="18"/>
        <v>72.239999999999981</v>
      </c>
      <c r="AO27">
        <v>2</v>
      </c>
      <c r="AP27">
        <v>10</v>
      </c>
      <c r="AQ27">
        <v>0</v>
      </c>
      <c r="AR27">
        <v>20</v>
      </c>
      <c r="AS27">
        <v>20</v>
      </c>
      <c r="AT27">
        <v>65</v>
      </c>
      <c r="AU27">
        <v>14</v>
      </c>
      <c r="AV27">
        <f t="shared" si="40"/>
        <v>31.999999999999993</v>
      </c>
      <c r="AW27">
        <v>0</v>
      </c>
      <c r="AX27">
        <v>10</v>
      </c>
      <c r="AY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1267-EEC3-441F-A822-22B69AB07C6A}">
  <dimension ref="A1:AY27"/>
  <sheetViews>
    <sheetView tabSelected="1" zoomScale="91" zoomScaleNormal="86" workbookViewId="0">
      <pane xSplit="1" topLeftCell="Z1" activePane="topRight" state="frozen"/>
      <selection pane="topRight" activeCell="AI18" sqref="AI18"/>
    </sheetView>
  </sheetViews>
  <sheetFormatPr defaultRowHeight="14.5" x14ac:dyDescent="0.35"/>
  <sheetData>
    <row r="1" spans="1:5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35">
      <c r="A2">
        <v>2000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</row>
    <row r="3" spans="1:51" x14ac:dyDescent="0.35">
      <c r="A3">
        <v>2001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</row>
    <row r="4" spans="1:51" x14ac:dyDescent="0.35">
      <c r="A4">
        <v>2002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</row>
    <row r="5" spans="1:51" x14ac:dyDescent="0.35">
      <c r="A5">
        <v>2003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</row>
    <row r="6" spans="1:51" x14ac:dyDescent="0.35">
      <c r="A6">
        <v>2004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</row>
    <row r="7" spans="1:51" x14ac:dyDescent="0.35">
      <c r="A7">
        <v>2005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</row>
    <row r="8" spans="1:51" x14ac:dyDescent="0.35">
      <c r="A8">
        <v>2006</v>
      </c>
      <c r="B8">
        <v>0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</row>
    <row r="9" spans="1:51" x14ac:dyDescent="0.35">
      <c r="A9">
        <v>2007</v>
      </c>
      <c r="B9">
        <v>0</v>
      </c>
      <c r="C9">
        <v>0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1</v>
      </c>
      <c r="AY9">
        <v>0</v>
      </c>
    </row>
    <row r="10" spans="1:51" x14ac:dyDescent="0.35">
      <c r="A10">
        <v>2008</v>
      </c>
      <c r="B10">
        <v>0</v>
      </c>
      <c r="C10">
        <v>0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1</v>
      </c>
      <c r="AY10">
        <v>0</v>
      </c>
    </row>
    <row r="11" spans="1:51" x14ac:dyDescent="0.35">
      <c r="A11">
        <v>2009</v>
      </c>
      <c r="B11">
        <v>0</v>
      </c>
      <c r="C11">
        <v>0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0</v>
      </c>
      <c r="AS11">
        <v>1</v>
      </c>
      <c r="AT11">
        <v>1</v>
      </c>
      <c r="AU11">
        <v>0</v>
      </c>
      <c r="AV11">
        <v>1</v>
      </c>
      <c r="AW11">
        <v>0</v>
      </c>
      <c r="AX11">
        <v>1</v>
      </c>
      <c r="AY11">
        <v>0</v>
      </c>
    </row>
    <row r="12" spans="1:51" x14ac:dyDescent="0.35">
      <c r="A12">
        <v>2010</v>
      </c>
      <c r="B12">
        <v>0</v>
      </c>
      <c r="C12">
        <v>0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</row>
    <row r="13" spans="1:51" x14ac:dyDescent="0.35">
      <c r="A13">
        <v>2011</v>
      </c>
      <c r="B13">
        <v>0</v>
      </c>
      <c r="C13">
        <v>0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Q13">
        <v>0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0</v>
      </c>
    </row>
    <row r="14" spans="1:51" x14ac:dyDescent="0.35">
      <c r="A14">
        <v>2012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0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0</v>
      </c>
    </row>
    <row r="15" spans="1:51" x14ac:dyDescent="0.35">
      <c r="A15">
        <v>2013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Q15">
        <v>0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0</v>
      </c>
    </row>
    <row r="16" spans="1:51" x14ac:dyDescent="0.35">
      <c r="A16">
        <v>2014</v>
      </c>
      <c r="B16">
        <v>0</v>
      </c>
      <c r="C16">
        <v>0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Q16">
        <v>0</v>
      </c>
      <c r="AS16">
        <v>1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0</v>
      </c>
    </row>
    <row r="17" spans="1:51" x14ac:dyDescent="0.35">
      <c r="A17">
        <v>2015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S17">
        <v>1</v>
      </c>
      <c r="AT17">
        <v>1</v>
      </c>
      <c r="AU17">
        <v>0</v>
      </c>
      <c r="AV17">
        <v>1</v>
      </c>
      <c r="AW17">
        <v>0</v>
      </c>
      <c r="AX17">
        <v>1</v>
      </c>
      <c r="AY17">
        <v>0</v>
      </c>
    </row>
    <row r="18" spans="1:51" x14ac:dyDescent="0.35">
      <c r="A18">
        <v>2016</v>
      </c>
      <c r="B18">
        <v>0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S18">
        <v>1</v>
      </c>
      <c r="AT18">
        <v>1</v>
      </c>
      <c r="AU18">
        <v>0</v>
      </c>
      <c r="AV18">
        <v>1</v>
      </c>
      <c r="AW18">
        <v>0</v>
      </c>
      <c r="AX18">
        <v>1</v>
      </c>
      <c r="AY18">
        <v>0</v>
      </c>
    </row>
    <row r="19" spans="1:51" x14ac:dyDescent="0.35">
      <c r="A19">
        <v>2017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S19">
        <v>1</v>
      </c>
      <c r="AT19">
        <v>1</v>
      </c>
      <c r="AU19">
        <v>0</v>
      </c>
      <c r="AV19">
        <v>1</v>
      </c>
      <c r="AW19">
        <v>0</v>
      </c>
      <c r="AX19">
        <v>1</v>
      </c>
      <c r="AY19">
        <v>0</v>
      </c>
    </row>
    <row r="20" spans="1:51" x14ac:dyDescent="0.35">
      <c r="A20">
        <v>2018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S20">
        <v>1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0</v>
      </c>
    </row>
    <row r="21" spans="1:51" x14ac:dyDescent="0.35">
      <c r="A21">
        <v>2019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1</v>
      </c>
      <c r="AY21">
        <v>0</v>
      </c>
    </row>
    <row r="22" spans="1:51" x14ac:dyDescent="0.35">
      <c r="A22">
        <v>2020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1</v>
      </c>
      <c r="AY22">
        <v>0</v>
      </c>
    </row>
    <row r="23" spans="1:51" x14ac:dyDescent="0.35">
      <c r="A23">
        <v>2021</v>
      </c>
      <c r="B23">
        <v>0</v>
      </c>
      <c r="C23">
        <v>0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1</v>
      </c>
      <c r="AY23">
        <v>0</v>
      </c>
    </row>
    <row r="24" spans="1:51" x14ac:dyDescent="0.35">
      <c r="A24">
        <v>2022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1</v>
      </c>
      <c r="AY24">
        <v>0</v>
      </c>
    </row>
    <row r="25" spans="1:51" x14ac:dyDescent="0.35">
      <c r="A25">
        <v>2023</v>
      </c>
      <c r="B25">
        <v>0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1</v>
      </c>
      <c r="AY25">
        <v>0</v>
      </c>
    </row>
    <row r="26" spans="1:51" x14ac:dyDescent="0.35">
      <c r="A26">
        <v>2024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1</v>
      </c>
      <c r="AY26">
        <v>0</v>
      </c>
    </row>
    <row r="27" spans="1:51" x14ac:dyDescent="0.35">
      <c r="A27">
        <v>2025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RPS_Numeric</vt:lpstr>
      <vt:lpstr>RPS_Binary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Sydney Lee</cp:lastModifiedBy>
  <dcterms:created xsi:type="dcterms:W3CDTF">2025-10-25T20:02:54Z</dcterms:created>
  <dcterms:modified xsi:type="dcterms:W3CDTF">2025-11-05T17:47:20Z</dcterms:modified>
</cp:coreProperties>
</file>